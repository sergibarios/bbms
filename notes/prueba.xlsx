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io\Desktop\Personal\Apps\bbms\notes\"/>
    </mc:Choice>
  </mc:AlternateContent>
  <xr:revisionPtr revIDLastSave="0" documentId="13_ncr:1_{DCB068B5-E8EC-4EF1-AF85-CD6F7C9DD6D6}" xr6:coauthVersionLast="47" xr6:coauthVersionMax="47" xr10:uidLastSave="{00000000-0000-0000-0000-000000000000}"/>
  <bookViews>
    <workbookView xWindow="-108" yWindow="-108" windowWidth="30936" windowHeight="16776" activeTab="1" xr2:uid="{8686AF2B-AD1B-4112-A27D-D2E8666C3828}"/>
  </bookViews>
  <sheets>
    <sheet name="Final" sheetId="2" r:id="rId1"/>
    <sheet name="otros" sheetId="20" r:id="rId2"/>
    <sheet name="prova" sheetId="18" r:id="rId3"/>
    <sheet name="acbs" sheetId="19" r:id="rId4"/>
  </sheets>
  <definedNames>
    <definedName name="_xlnm._FilterDatabase" localSheetId="0" hidden="1">Final!$A$1:$L$222</definedName>
    <definedName name="_xlnm._FilterDatabase" localSheetId="1" hidden="1">otros!$A$1:$A$1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6" i="2" l="1"/>
  <c r="P184" i="2"/>
  <c r="P3" i="2"/>
  <c r="N3" i="2"/>
  <c r="O3" i="2"/>
  <c r="N4" i="2"/>
  <c r="O4" i="2"/>
  <c r="P4" i="2"/>
  <c r="N5" i="2"/>
  <c r="O5" i="2"/>
  <c r="P5" i="2"/>
  <c r="N6" i="2"/>
  <c r="O6" i="2"/>
  <c r="P6" i="2"/>
  <c r="N7" i="2"/>
  <c r="O7" i="2"/>
  <c r="P7" i="2"/>
  <c r="N8" i="2"/>
  <c r="O8" i="2"/>
  <c r="P8" i="2"/>
  <c r="N9" i="2"/>
  <c r="O9" i="2"/>
  <c r="P9" i="2"/>
  <c r="N10" i="2"/>
  <c r="O10" i="2"/>
  <c r="P10" i="2"/>
  <c r="N11" i="2"/>
  <c r="O11" i="2"/>
  <c r="P11" i="2"/>
  <c r="N12" i="2"/>
  <c r="O12" i="2"/>
  <c r="P12" i="2"/>
  <c r="N13" i="2"/>
  <c r="O13" i="2"/>
  <c r="P13" i="2"/>
  <c r="N14" i="2"/>
  <c r="O14" i="2"/>
  <c r="P14" i="2"/>
  <c r="N15" i="2"/>
  <c r="O15" i="2"/>
  <c r="P15" i="2"/>
  <c r="N16" i="2"/>
  <c r="O16" i="2"/>
  <c r="P16" i="2"/>
  <c r="N17" i="2"/>
  <c r="O17" i="2"/>
  <c r="P17" i="2"/>
  <c r="N18" i="2"/>
  <c r="O18" i="2"/>
  <c r="P18" i="2"/>
  <c r="N19" i="2"/>
  <c r="O19" i="2"/>
  <c r="P19" i="2"/>
  <c r="N20" i="2"/>
  <c r="O20" i="2"/>
  <c r="P20" i="2"/>
  <c r="N21" i="2"/>
  <c r="O21" i="2"/>
  <c r="P21" i="2"/>
  <c r="N22" i="2"/>
  <c r="O22" i="2"/>
  <c r="P22" i="2"/>
  <c r="N23" i="2"/>
  <c r="O23" i="2"/>
  <c r="P23" i="2"/>
  <c r="N24" i="2"/>
  <c r="O24" i="2"/>
  <c r="P24" i="2"/>
  <c r="N25" i="2"/>
  <c r="O25" i="2"/>
  <c r="P25" i="2"/>
  <c r="N26" i="2"/>
  <c r="O26" i="2"/>
  <c r="P26" i="2"/>
  <c r="N27" i="2"/>
  <c r="O27" i="2"/>
  <c r="P27" i="2"/>
  <c r="N28" i="2"/>
  <c r="O28" i="2"/>
  <c r="P28" i="2"/>
  <c r="N29" i="2"/>
  <c r="O29" i="2"/>
  <c r="P29" i="2"/>
  <c r="N30" i="2"/>
  <c r="O30" i="2"/>
  <c r="P30" i="2"/>
  <c r="N31" i="2"/>
  <c r="O31" i="2"/>
  <c r="P31" i="2"/>
  <c r="N32" i="2"/>
  <c r="O32" i="2"/>
  <c r="P32" i="2"/>
  <c r="N33" i="2"/>
  <c r="O33" i="2"/>
  <c r="P33" i="2"/>
  <c r="N34" i="2"/>
  <c r="O34" i="2"/>
  <c r="P34" i="2"/>
  <c r="N35" i="2"/>
  <c r="O35" i="2"/>
  <c r="P35" i="2"/>
  <c r="N36" i="2"/>
  <c r="O36" i="2"/>
  <c r="P36" i="2"/>
  <c r="N37" i="2"/>
  <c r="O37" i="2"/>
  <c r="P37" i="2"/>
  <c r="N38" i="2"/>
  <c r="O38" i="2"/>
  <c r="P38" i="2"/>
  <c r="N39" i="2"/>
  <c r="O39" i="2"/>
  <c r="P39" i="2"/>
  <c r="N40" i="2"/>
  <c r="O40" i="2"/>
  <c r="P40" i="2"/>
  <c r="N41" i="2"/>
  <c r="O41" i="2"/>
  <c r="P41" i="2"/>
  <c r="N42" i="2"/>
  <c r="O42" i="2"/>
  <c r="P42" i="2"/>
  <c r="N43" i="2"/>
  <c r="O43" i="2"/>
  <c r="P43" i="2"/>
  <c r="N44" i="2"/>
  <c r="O44" i="2"/>
  <c r="P44" i="2"/>
  <c r="N45" i="2"/>
  <c r="O45" i="2"/>
  <c r="P45" i="2"/>
  <c r="N46" i="2"/>
  <c r="O46" i="2"/>
  <c r="P46" i="2"/>
  <c r="N47" i="2"/>
  <c r="O47" i="2"/>
  <c r="P47" i="2"/>
  <c r="N48" i="2"/>
  <c r="O48" i="2"/>
  <c r="P48" i="2"/>
  <c r="N49" i="2"/>
  <c r="O49" i="2"/>
  <c r="P49" i="2"/>
  <c r="N50" i="2"/>
  <c r="O50" i="2"/>
  <c r="P50" i="2"/>
  <c r="N51" i="2"/>
  <c r="O51" i="2"/>
  <c r="P51" i="2"/>
  <c r="N52" i="2"/>
  <c r="O52" i="2"/>
  <c r="P52" i="2"/>
  <c r="N53" i="2"/>
  <c r="O53" i="2"/>
  <c r="P53" i="2"/>
  <c r="N54" i="2"/>
  <c r="O54" i="2"/>
  <c r="P54" i="2"/>
  <c r="N55" i="2"/>
  <c r="O55" i="2"/>
  <c r="P55" i="2"/>
  <c r="N56" i="2"/>
  <c r="O56" i="2"/>
  <c r="P56" i="2"/>
  <c r="N57" i="2"/>
  <c r="O57" i="2"/>
  <c r="P57" i="2"/>
  <c r="N58" i="2"/>
  <c r="O58" i="2"/>
  <c r="P58" i="2"/>
  <c r="N59" i="2"/>
  <c r="O59" i="2"/>
  <c r="P59" i="2"/>
  <c r="N60" i="2"/>
  <c r="O60" i="2"/>
  <c r="P60" i="2"/>
  <c r="N61" i="2"/>
  <c r="O61" i="2"/>
  <c r="P61" i="2"/>
  <c r="N62" i="2"/>
  <c r="O62" i="2"/>
  <c r="P62" i="2"/>
  <c r="N63" i="2"/>
  <c r="O63" i="2"/>
  <c r="P63" i="2"/>
  <c r="N64" i="2"/>
  <c r="O64" i="2"/>
  <c r="P64" i="2"/>
  <c r="N65" i="2"/>
  <c r="O65" i="2"/>
  <c r="P65" i="2"/>
  <c r="N66" i="2"/>
  <c r="O66" i="2"/>
  <c r="P66" i="2"/>
  <c r="N67" i="2"/>
  <c r="O67" i="2"/>
  <c r="P67" i="2"/>
  <c r="N68" i="2"/>
  <c r="O68" i="2"/>
  <c r="P68" i="2"/>
  <c r="N69" i="2"/>
  <c r="O69" i="2"/>
  <c r="P69" i="2"/>
  <c r="N70" i="2"/>
  <c r="O70" i="2"/>
  <c r="P70" i="2"/>
  <c r="N71" i="2"/>
  <c r="O71" i="2"/>
  <c r="P71" i="2"/>
  <c r="N72" i="2"/>
  <c r="O72" i="2"/>
  <c r="P72" i="2"/>
  <c r="N73" i="2"/>
  <c r="O73" i="2"/>
  <c r="P73" i="2"/>
  <c r="N74" i="2"/>
  <c r="O74" i="2"/>
  <c r="P74" i="2"/>
  <c r="N75" i="2"/>
  <c r="O75" i="2"/>
  <c r="P75" i="2"/>
  <c r="N76" i="2"/>
  <c r="O76" i="2"/>
  <c r="P76" i="2"/>
  <c r="N77" i="2"/>
  <c r="O77" i="2"/>
  <c r="P77" i="2"/>
  <c r="N78" i="2"/>
  <c r="O78" i="2"/>
  <c r="P78" i="2"/>
  <c r="N79" i="2"/>
  <c r="O79" i="2"/>
  <c r="P79" i="2"/>
  <c r="N80" i="2"/>
  <c r="O80" i="2"/>
  <c r="P80" i="2"/>
  <c r="N81" i="2"/>
  <c r="O81" i="2"/>
  <c r="P81" i="2"/>
  <c r="N82" i="2"/>
  <c r="O82" i="2"/>
  <c r="P82" i="2"/>
  <c r="N83" i="2"/>
  <c r="O83" i="2"/>
  <c r="P83" i="2"/>
  <c r="N84" i="2"/>
  <c r="O84" i="2"/>
  <c r="P84" i="2"/>
  <c r="N85" i="2"/>
  <c r="O85" i="2"/>
  <c r="P85" i="2"/>
  <c r="N86" i="2"/>
  <c r="O86" i="2"/>
  <c r="P86" i="2"/>
  <c r="N87" i="2"/>
  <c r="O87" i="2"/>
  <c r="P87" i="2"/>
  <c r="N88" i="2"/>
  <c r="O88" i="2"/>
  <c r="P88" i="2"/>
  <c r="N89" i="2"/>
  <c r="O89" i="2"/>
  <c r="P89" i="2"/>
  <c r="N90" i="2"/>
  <c r="O90" i="2"/>
  <c r="P90" i="2"/>
  <c r="N91" i="2"/>
  <c r="O91" i="2"/>
  <c r="P91" i="2"/>
  <c r="N92" i="2"/>
  <c r="O92" i="2"/>
  <c r="P92" i="2"/>
  <c r="N93" i="2"/>
  <c r="O93" i="2"/>
  <c r="P93" i="2"/>
  <c r="N94" i="2"/>
  <c r="O94" i="2"/>
  <c r="P94" i="2"/>
  <c r="N95" i="2"/>
  <c r="O95" i="2"/>
  <c r="P95" i="2"/>
  <c r="N96" i="2"/>
  <c r="O96" i="2"/>
  <c r="P96" i="2"/>
  <c r="N97" i="2"/>
  <c r="O97" i="2"/>
  <c r="P97" i="2"/>
  <c r="N98" i="2"/>
  <c r="O98" i="2"/>
  <c r="P98" i="2"/>
  <c r="N99" i="2"/>
  <c r="O99" i="2"/>
  <c r="P99" i="2"/>
  <c r="N100" i="2"/>
  <c r="O100" i="2"/>
  <c r="P100" i="2"/>
  <c r="N101" i="2"/>
  <c r="O101" i="2"/>
  <c r="P101" i="2"/>
  <c r="N102" i="2"/>
  <c r="O102" i="2"/>
  <c r="P102" i="2"/>
  <c r="N103" i="2"/>
  <c r="O103" i="2"/>
  <c r="P103" i="2"/>
  <c r="N104" i="2"/>
  <c r="O104" i="2"/>
  <c r="P104" i="2"/>
  <c r="N105" i="2"/>
  <c r="O105" i="2"/>
  <c r="P105" i="2"/>
  <c r="N106" i="2"/>
  <c r="O106" i="2"/>
  <c r="P106" i="2"/>
  <c r="N107" i="2"/>
  <c r="O107" i="2"/>
  <c r="P107" i="2"/>
  <c r="N108" i="2"/>
  <c r="O108" i="2"/>
  <c r="P108" i="2"/>
  <c r="N109" i="2"/>
  <c r="O109" i="2"/>
  <c r="P109" i="2"/>
  <c r="N110" i="2"/>
  <c r="O110" i="2"/>
  <c r="P110" i="2"/>
  <c r="N111" i="2"/>
  <c r="O111" i="2"/>
  <c r="P111" i="2"/>
  <c r="N112" i="2"/>
  <c r="O112" i="2"/>
  <c r="P112" i="2"/>
  <c r="N113" i="2"/>
  <c r="O113" i="2"/>
  <c r="P113" i="2"/>
  <c r="N114" i="2"/>
  <c r="O114" i="2"/>
  <c r="P114" i="2"/>
  <c r="N115" i="2"/>
  <c r="O115" i="2"/>
  <c r="P115" i="2"/>
  <c r="N116" i="2"/>
  <c r="O116" i="2"/>
  <c r="P116" i="2"/>
  <c r="N117" i="2"/>
  <c r="O117" i="2"/>
  <c r="P117" i="2"/>
  <c r="N118" i="2"/>
  <c r="O118" i="2"/>
  <c r="P118" i="2"/>
  <c r="N119" i="2"/>
  <c r="O119" i="2"/>
  <c r="P119" i="2"/>
  <c r="N120" i="2"/>
  <c r="O120" i="2"/>
  <c r="P120" i="2"/>
  <c r="N121" i="2"/>
  <c r="O121" i="2"/>
  <c r="P121" i="2"/>
  <c r="N122" i="2"/>
  <c r="O122" i="2"/>
  <c r="P122" i="2"/>
  <c r="N123" i="2"/>
  <c r="O123" i="2"/>
  <c r="P123" i="2"/>
  <c r="N124" i="2"/>
  <c r="O124" i="2"/>
  <c r="P124" i="2"/>
  <c r="N125" i="2"/>
  <c r="O125" i="2"/>
  <c r="P125" i="2"/>
  <c r="N126" i="2"/>
  <c r="O126" i="2"/>
  <c r="P126" i="2"/>
  <c r="N127" i="2"/>
  <c r="O127" i="2"/>
  <c r="P127" i="2"/>
  <c r="N128" i="2"/>
  <c r="O128" i="2"/>
  <c r="P128" i="2"/>
  <c r="N129" i="2"/>
  <c r="O129" i="2"/>
  <c r="P129" i="2"/>
  <c r="N130" i="2"/>
  <c r="O130" i="2"/>
  <c r="P130" i="2"/>
  <c r="N131" i="2"/>
  <c r="O131" i="2"/>
  <c r="P131" i="2"/>
  <c r="N132" i="2"/>
  <c r="O132" i="2"/>
  <c r="P132" i="2"/>
  <c r="N133" i="2"/>
  <c r="O133" i="2"/>
  <c r="P133" i="2"/>
  <c r="N134" i="2"/>
  <c r="O134" i="2"/>
  <c r="P134" i="2"/>
  <c r="N135" i="2"/>
  <c r="O135" i="2"/>
  <c r="P135" i="2"/>
  <c r="N136" i="2"/>
  <c r="O136" i="2"/>
  <c r="P136" i="2"/>
  <c r="N137" i="2"/>
  <c r="O137" i="2"/>
  <c r="P137" i="2"/>
  <c r="N138" i="2"/>
  <c r="O138" i="2"/>
  <c r="P138" i="2"/>
  <c r="N139" i="2"/>
  <c r="O139" i="2"/>
  <c r="P139" i="2"/>
  <c r="N140" i="2"/>
  <c r="O140" i="2"/>
  <c r="P140" i="2"/>
  <c r="N141" i="2"/>
  <c r="O141" i="2"/>
  <c r="P141" i="2"/>
  <c r="N142" i="2"/>
  <c r="O142" i="2"/>
  <c r="P142" i="2"/>
  <c r="N143" i="2"/>
  <c r="O143" i="2"/>
  <c r="P143" i="2"/>
  <c r="N144" i="2"/>
  <c r="O144" i="2"/>
  <c r="P144" i="2"/>
  <c r="N145" i="2"/>
  <c r="O145" i="2"/>
  <c r="P145" i="2"/>
  <c r="N146" i="2"/>
  <c r="O146" i="2"/>
  <c r="P146" i="2"/>
  <c r="N147" i="2"/>
  <c r="O147" i="2"/>
  <c r="P147" i="2"/>
  <c r="N148" i="2"/>
  <c r="O148" i="2"/>
  <c r="P148" i="2"/>
  <c r="N149" i="2"/>
  <c r="O149" i="2"/>
  <c r="P149" i="2"/>
  <c r="N150" i="2"/>
  <c r="O150" i="2"/>
  <c r="P150" i="2"/>
  <c r="N151" i="2"/>
  <c r="O151" i="2"/>
  <c r="P151" i="2"/>
  <c r="N152" i="2"/>
  <c r="O152" i="2"/>
  <c r="P152" i="2"/>
  <c r="N153" i="2"/>
  <c r="O153" i="2"/>
  <c r="P153" i="2"/>
  <c r="N154" i="2"/>
  <c r="O154" i="2"/>
  <c r="P154" i="2"/>
  <c r="N155" i="2"/>
  <c r="O155" i="2"/>
  <c r="P155" i="2"/>
  <c r="N156" i="2"/>
  <c r="O156" i="2"/>
  <c r="P156" i="2"/>
  <c r="N157" i="2"/>
  <c r="O157" i="2"/>
  <c r="P157" i="2"/>
  <c r="N158" i="2"/>
  <c r="O158" i="2"/>
  <c r="P158" i="2"/>
  <c r="N159" i="2"/>
  <c r="O159" i="2"/>
  <c r="P159" i="2"/>
  <c r="N160" i="2"/>
  <c r="O160" i="2"/>
  <c r="P160" i="2"/>
  <c r="N161" i="2"/>
  <c r="O161" i="2"/>
  <c r="P161" i="2"/>
  <c r="N162" i="2"/>
  <c r="O162" i="2"/>
  <c r="P162" i="2"/>
  <c r="N163" i="2"/>
  <c r="O163" i="2"/>
  <c r="P163" i="2"/>
  <c r="N164" i="2"/>
  <c r="O164" i="2"/>
  <c r="P164" i="2"/>
  <c r="N165" i="2"/>
  <c r="O165" i="2"/>
  <c r="P165" i="2"/>
  <c r="N166" i="2"/>
  <c r="O166" i="2"/>
  <c r="N167" i="2"/>
  <c r="O167" i="2"/>
  <c r="P167" i="2"/>
  <c r="N168" i="2"/>
  <c r="O168" i="2"/>
  <c r="P168" i="2"/>
  <c r="N169" i="2"/>
  <c r="O169" i="2"/>
  <c r="P169" i="2"/>
  <c r="N170" i="2"/>
  <c r="O170" i="2"/>
  <c r="P170" i="2"/>
  <c r="N171" i="2"/>
  <c r="O171" i="2"/>
  <c r="P171" i="2"/>
  <c r="N172" i="2"/>
  <c r="O172" i="2"/>
  <c r="P172" i="2"/>
  <c r="N173" i="2"/>
  <c r="O173" i="2"/>
  <c r="P173" i="2"/>
  <c r="N174" i="2"/>
  <c r="O174" i="2"/>
  <c r="P174" i="2"/>
  <c r="N175" i="2"/>
  <c r="O175" i="2"/>
  <c r="P175" i="2"/>
  <c r="N176" i="2"/>
  <c r="O176" i="2"/>
  <c r="P176" i="2"/>
  <c r="N177" i="2"/>
  <c r="O177" i="2"/>
  <c r="P177" i="2"/>
  <c r="N178" i="2"/>
  <c r="O178" i="2"/>
  <c r="P178" i="2"/>
  <c r="N179" i="2"/>
  <c r="O179" i="2"/>
  <c r="P179" i="2"/>
  <c r="N180" i="2"/>
  <c r="O180" i="2"/>
  <c r="P180" i="2"/>
  <c r="N181" i="2"/>
  <c r="O181" i="2"/>
  <c r="P181" i="2"/>
  <c r="N182" i="2"/>
  <c r="O182" i="2"/>
  <c r="P182" i="2"/>
  <c r="N183" i="2"/>
  <c r="O183" i="2"/>
  <c r="P183" i="2"/>
  <c r="N184" i="2"/>
  <c r="O184" i="2"/>
  <c r="N185" i="2"/>
  <c r="O185" i="2"/>
  <c r="P185" i="2"/>
  <c r="N186" i="2"/>
  <c r="O186" i="2"/>
  <c r="P186" i="2"/>
  <c r="N187" i="2"/>
  <c r="O187" i="2"/>
  <c r="P187" i="2"/>
  <c r="N188" i="2"/>
  <c r="O188" i="2"/>
  <c r="P188" i="2"/>
  <c r="N189" i="2"/>
  <c r="O189" i="2"/>
  <c r="P189" i="2"/>
  <c r="N190" i="2"/>
  <c r="O190" i="2"/>
  <c r="P190" i="2"/>
  <c r="N191" i="2"/>
  <c r="O191" i="2"/>
  <c r="P191" i="2"/>
  <c r="N192" i="2"/>
  <c r="O192" i="2"/>
  <c r="P192" i="2"/>
  <c r="N193" i="2"/>
  <c r="O193" i="2"/>
  <c r="P193" i="2"/>
  <c r="N194" i="2"/>
  <c r="O194" i="2"/>
  <c r="P194" i="2"/>
  <c r="N195" i="2"/>
  <c r="O195" i="2"/>
  <c r="P195" i="2"/>
  <c r="N196" i="2"/>
  <c r="O196" i="2"/>
  <c r="P196" i="2"/>
  <c r="N197" i="2"/>
  <c r="O197" i="2"/>
  <c r="P197" i="2"/>
  <c r="N198" i="2"/>
  <c r="O198" i="2"/>
  <c r="P198" i="2"/>
  <c r="N199" i="2"/>
  <c r="O199" i="2"/>
  <c r="P199" i="2"/>
  <c r="N200" i="2"/>
  <c r="O200" i="2"/>
  <c r="P200" i="2"/>
  <c r="N201" i="2"/>
  <c r="O201" i="2"/>
  <c r="P201" i="2"/>
  <c r="N202" i="2"/>
  <c r="O202" i="2"/>
  <c r="P202" i="2"/>
  <c r="N203" i="2"/>
  <c r="O203" i="2"/>
  <c r="P203" i="2"/>
  <c r="N204" i="2"/>
  <c r="O204" i="2"/>
  <c r="P204" i="2"/>
  <c r="N205" i="2"/>
  <c r="O205" i="2"/>
  <c r="P205" i="2"/>
  <c r="N206" i="2"/>
  <c r="O206" i="2"/>
  <c r="P206" i="2"/>
  <c r="N207" i="2"/>
  <c r="O207" i="2"/>
  <c r="P207" i="2"/>
  <c r="N208" i="2"/>
  <c r="O208" i="2"/>
  <c r="P208" i="2"/>
  <c r="N209" i="2"/>
  <c r="O209" i="2"/>
  <c r="P209" i="2"/>
  <c r="N210" i="2"/>
  <c r="O210" i="2"/>
  <c r="P210" i="2"/>
  <c r="N211" i="2"/>
  <c r="O211" i="2"/>
  <c r="P211" i="2"/>
  <c r="N212" i="2"/>
  <c r="O212" i="2"/>
  <c r="P212" i="2"/>
  <c r="N213" i="2"/>
  <c r="O213" i="2"/>
  <c r="P213" i="2"/>
  <c r="N214" i="2"/>
  <c r="O214" i="2"/>
  <c r="P214" i="2"/>
  <c r="N215" i="2"/>
  <c r="O215" i="2"/>
  <c r="P215" i="2"/>
  <c r="N216" i="2"/>
  <c r="O216" i="2"/>
  <c r="P216" i="2"/>
  <c r="N217" i="2"/>
  <c r="O217" i="2"/>
  <c r="P217" i="2"/>
  <c r="N218" i="2"/>
  <c r="O218" i="2"/>
  <c r="P218" i="2"/>
  <c r="N219" i="2"/>
  <c r="O219" i="2"/>
  <c r="P219" i="2"/>
  <c r="N220" i="2"/>
  <c r="O220" i="2"/>
  <c r="P220" i="2"/>
  <c r="N221" i="2"/>
  <c r="O221" i="2"/>
  <c r="P221" i="2"/>
  <c r="N222" i="2"/>
  <c r="O222" i="2"/>
  <c r="P222" i="2"/>
  <c r="P2" i="2"/>
  <c r="O2" i="2"/>
  <c r="N2" i="2"/>
</calcChain>
</file>

<file path=xl/sharedStrings.xml><?xml version="1.0" encoding="utf-8"?>
<sst xmlns="http://schemas.openxmlformats.org/spreadsheetml/2006/main" count="2181" uniqueCount="595">
  <si>
    <t>Posición</t>
  </si>
  <si>
    <t>Nombre</t>
  </si>
  <si>
    <t>Foto (URL)</t>
  </si>
  <si>
    <t>Licencia</t>
  </si>
  <si>
    <t>País</t>
  </si>
  <si>
    <t>Fecha de nacimiento</t>
  </si>
  <si>
    <t>Altura (cm)</t>
  </si>
  <si>
    <t>Año fin de contrato</t>
  </si>
  <si>
    <t>Origen</t>
  </si>
  <si>
    <t>Descripción</t>
  </si>
  <si>
    <t>Vídeo (URL de YouTube)</t>
  </si>
  <si>
    <t>B</t>
  </si>
  <si>
    <t>Facu Campazzo</t>
  </si>
  <si>
    <t>/images/jugadores/facu_campazzo.webp</t>
  </si>
  <si>
    <t>EUR</t>
  </si>
  <si>
    <t>Argentina</t>
  </si>
  <si>
    <t>Sigue</t>
  </si>
  <si>
    <t>Andrés Feliz</t>
  </si>
  <si>
    <t>/images/jugadores/andres_feliz.webp</t>
  </si>
  <si>
    <t>República Dominicana</t>
  </si>
  <si>
    <t>Theo Maledon</t>
  </si>
  <si>
    <t>/images/jugadores/theo_maledon.webp</t>
  </si>
  <si>
    <t>Francia</t>
  </si>
  <si>
    <t>E</t>
  </si>
  <si>
    <t>Alberto Abalde</t>
  </si>
  <si>
    <t>/images/jugadores/alberto_abalde.webp</t>
  </si>
  <si>
    <t>JFL</t>
  </si>
  <si>
    <t>España</t>
  </si>
  <si>
    <t>Sergio Llull</t>
  </si>
  <si>
    <t>/images/jugadores/sergio_llull.webp</t>
  </si>
  <si>
    <t>Renovación</t>
  </si>
  <si>
    <t>Max Shulga</t>
  </si>
  <si>
    <t>/images/jugadores/max_shulga.webp</t>
  </si>
  <si>
    <t>Ucrania</t>
  </si>
  <si>
    <t>-</t>
  </si>
  <si>
    <t>Fichaje</t>
  </si>
  <si>
    <t>A</t>
  </si>
  <si>
    <t>Gabriel Deck</t>
  </si>
  <si>
    <t>/images/jugadores/gabriel_deck.webp</t>
  </si>
  <si>
    <t>Timothé Luwawu-Cabarrot</t>
  </si>
  <si>
    <t>/images/jugadores/tlc.webp</t>
  </si>
  <si>
    <t>Gabriele Procida</t>
  </si>
  <si>
    <t>/images/jugadores/gabriele_procida.webp</t>
  </si>
  <si>
    <t>Italia</t>
  </si>
  <si>
    <t>AP</t>
  </si>
  <si>
    <t>Jaime Pradilla</t>
  </si>
  <si>
    <t>/images/jugadores/jaime_pradilla.webp</t>
  </si>
  <si>
    <t>Chuma Okeke</t>
  </si>
  <si>
    <t>/images/jugadores/chuma_okeke.webp</t>
  </si>
  <si>
    <t>EXT</t>
  </si>
  <si>
    <t>Estados Unidos</t>
  </si>
  <si>
    <t>Mikael Jantunen</t>
  </si>
  <si>
    <t>/images/jugadores/mikael_jantunen.jpeg</t>
  </si>
  <si>
    <t>Finlandia</t>
  </si>
  <si>
    <t>P</t>
  </si>
  <si>
    <t>Edy Tavares</t>
  </si>
  <si>
    <t>/images/jugadores/edy_tavares.webp</t>
  </si>
  <si>
    <t>Cabo Verde</t>
  </si>
  <si>
    <t>Usman Garuba</t>
  </si>
  <si>
    <t>/images/jugadores/usman_garuba.webp</t>
  </si>
  <si>
    <t>Olivier Sarr</t>
  </si>
  <si>
    <t>/images/jugadores/olivier_sarr.webp</t>
  </si>
  <si>
    <t>Damian Jones</t>
  </si>
  <si>
    <t>/images/jugadores/damian_jones.webp</t>
  </si>
  <si>
    <t>TJ Shorts</t>
  </si>
  <si>
    <t>Mario Saint-Supéry</t>
  </si>
  <si>
    <t>Álvaro Cárdenas</t>
  </si>
  <si>
    <t>Armoni Brooks</t>
  </si>
  <si>
    <t>Omari Moore</t>
  </si>
  <si>
    <t>Gonzalo Corbalán</t>
  </si>
  <si>
    <t>Lucas Marí</t>
  </si>
  <si>
    <t>Kameron Taylor</t>
  </si>
  <si>
    <t>Josep Puerto</t>
  </si>
  <si>
    <t>Dylan Osetkowski</t>
  </si>
  <si>
    <t>Mo Gueye</t>
  </si>
  <si>
    <t>Nate Reuvers</t>
  </si>
  <si>
    <t>Neal Sako</t>
  </si>
  <si>
    <t>Yankuba Sima</t>
  </si>
  <si>
    <t>COT</t>
  </si>
  <si>
    <t>Kobi Simmons</t>
  </si>
  <si>
    <t>Matteo Spagnolo</t>
  </si>
  <si>
    <t>Damion Baugh</t>
  </si>
  <si>
    <t>Chris Duarte</t>
  </si>
  <si>
    <t>Markus Howard</t>
  </si>
  <si>
    <t>Stefan Joksimovic</t>
  </si>
  <si>
    <t>DJ Stewart</t>
  </si>
  <si>
    <t>AJ Lawson</t>
  </si>
  <si>
    <t>Rodions Kurucs</t>
  </si>
  <si>
    <t>Tadas Sedekerskis</t>
  </si>
  <si>
    <t>Clément Frisch</t>
  </si>
  <si>
    <t>Khalifa Diop</t>
  </si>
  <si>
    <t>Souley Boum</t>
  </si>
  <si>
    <t>Juani Marcos</t>
  </si>
  <si>
    <t>Michael Forrest</t>
  </si>
  <si>
    <t>Dylan Ennis</t>
  </si>
  <si>
    <t>Jonah Radebaugh</t>
  </si>
  <si>
    <t>Sander Raieste</t>
  </si>
  <si>
    <t>Howard Sant-Roos</t>
  </si>
  <si>
    <t>Wilhelm Falk</t>
  </si>
  <si>
    <t>Kaiser Gates</t>
  </si>
  <si>
    <t>Marcis Steinbergs</t>
  </si>
  <si>
    <t>Toni Nakic</t>
  </si>
  <si>
    <t>Rubén López de la Torre</t>
  </si>
  <si>
    <t>Jean Marc Pansa</t>
  </si>
  <si>
    <t>Emanuel Cate</t>
  </si>
  <si>
    <t>Moussa Diagne</t>
  </si>
  <si>
    <t>Justin Robinson</t>
  </si>
  <si>
    <t>Umoja Gibson</t>
  </si>
  <si>
    <t>Juan Núñez</t>
  </si>
  <si>
    <t>Kevin Punter</t>
  </si>
  <si>
    <t>Darío Brizuela</t>
  </si>
  <si>
    <t>Agustín Ubal</t>
  </si>
  <si>
    <t>Tyrese Martin</t>
  </si>
  <si>
    <t>Stanley Umude</t>
  </si>
  <si>
    <t>Joel Parra</t>
  </si>
  <si>
    <t>Tosan Evbuomwan</t>
  </si>
  <si>
    <t>Olivier Nkamhoua</t>
  </si>
  <si>
    <t>Josh Nebo</t>
  </si>
  <si>
    <t>Olek Balcerowski</t>
  </si>
  <si>
    <t>Ricky Rubio</t>
  </si>
  <si>
    <t>Ludde Hakanson</t>
  </si>
  <si>
    <t>Boogie Ellis</t>
  </si>
  <si>
    <t>Nico Laprovittola</t>
  </si>
  <si>
    <t>Isaac Nogués</t>
  </si>
  <si>
    <t>Yannick Kraag</t>
  </si>
  <si>
    <t>Álex Reyes</t>
  </si>
  <si>
    <t>Kwan Cheatham</t>
  </si>
  <si>
    <t>Emir Sulejmanovic</t>
  </si>
  <si>
    <t>Dane Erikstrup</t>
  </si>
  <si>
    <t>Ante Tomic</t>
  </si>
  <si>
    <t>Simon Birgander</t>
  </si>
  <si>
    <t>Harald Frey</t>
  </si>
  <si>
    <t>Adam Somogyi</t>
  </si>
  <si>
    <t>Dan Duscak</t>
  </si>
  <si>
    <t>Nate Darling</t>
  </si>
  <si>
    <t>Margiris Normantas</t>
  </si>
  <si>
    <t>Darrun Hilliard</t>
  </si>
  <si>
    <t>Aleix Font</t>
  </si>
  <si>
    <t>Manex Ansorregi</t>
  </si>
  <si>
    <t>Martin Krampelj</t>
  </si>
  <si>
    <t>Luke Petrasek</t>
  </si>
  <si>
    <t>Tryggvi Hlinason</t>
  </si>
  <si>
    <t>Bastien Vautier</t>
  </si>
  <si>
    <t>Ondrej Hustak</t>
  </si>
  <si>
    <t>Marcelinho Huertas</t>
  </si>
  <si>
    <t>Bruno Fitipaldo</t>
  </si>
  <si>
    <t>Kyle Guy</t>
  </si>
  <si>
    <t>Wesley Van Beck</t>
  </si>
  <si>
    <t>Rokas Giedraitis</t>
  </si>
  <si>
    <t>Xabi López-Arostegui</t>
  </si>
  <si>
    <t>Tim Abromaitis</t>
  </si>
  <si>
    <t>Aaron Doornekamp</t>
  </si>
  <si>
    <t>Héctor Alderete</t>
  </si>
  <si>
    <t>Giorgi Shermadini</t>
  </si>
  <si>
    <t>Ethan Happ</t>
  </si>
  <si>
    <t>Kendrick Perry</t>
  </si>
  <si>
    <t>Alberto Díaz</t>
  </si>
  <si>
    <t>Melwin Pantzar</t>
  </si>
  <si>
    <t>Cameron Hunt</t>
  </si>
  <si>
    <t>Tyler Kalinoski</t>
  </si>
  <si>
    <t>Nihad Djedovic</t>
  </si>
  <si>
    <t>Simonas Lukosius</t>
  </si>
  <si>
    <t>Ignas Brazdeikis</t>
  </si>
  <si>
    <t>Jonathan Barreiro</t>
  </si>
  <si>
    <t>Amine Noua</t>
  </si>
  <si>
    <t>Tyson Pérez</t>
  </si>
  <si>
    <t>Willy Hernangómez</t>
  </si>
  <si>
    <t>David Kravish</t>
  </si>
  <si>
    <t>Yannick Nzosa</t>
  </si>
  <si>
    <t>Hugo Benítez</t>
  </si>
  <si>
    <t>Ferran Bassas</t>
  </si>
  <si>
    <t>Rafa Villar</t>
  </si>
  <si>
    <t>Lucas Beaufort</t>
  </si>
  <si>
    <t>Lukasz Kolenda</t>
  </si>
  <si>
    <t>Chibuzo Agbo</t>
  </si>
  <si>
    <t>Pablo Tamba</t>
  </si>
  <si>
    <t>Timmy Allen</t>
  </si>
  <si>
    <t>Yordan Minchev</t>
  </si>
  <si>
    <t>Eric Vila</t>
  </si>
  <si>
    <t>Nick Ongenda</t>
  </si>
  <si>
    <t>Pierre Oriola</t>
  </si>
  <si>
    <t>Dominik Mavra</t>
  </si>
  <si>
    <t>Rasir Bolton</t>
  </si>
  <si>
    <t>Erik Quintela</t>
  </si>
  <si>
    <t>Francis Alonso</t>
  </si>
  <si>
    <t>Josep Peris</t>
  </si>
  <si>
    <t>Tevin Brown</t>
  </si>
  <si>
    <t>Aleksandar Aranitovic</t>
  </si>
  <si>
    <t>Edgar Vicedo</t>
  </si>
  <si>
    <t>Andersson García</t>
  </si>
  <si>
    <t>Mijahlo Andric</t>
  </si>
  <si>
    <t>Aleksa Ilic</t>
  </si>
  <si>
    <t>Danko Brankovic</t>
  </si>
  <si>
    <t>Jordan Sakho</t>
  </si>
  <si>
    <t>Jonathan Kasibabu</t>
  </si>
  <si>
    <t>Stanley Whittaker</t>
  </si>
  <si>
    <t>Andrzej Pluta</t>
  </si>
  <si>
    <t>Isaac Vázquez</t>
  </si>
  <si>
    <t>Mac McClung</t>
  </si>
  <si>
    <t>Jassel Pérez</t>
  </si>
  <si>
    <t>Pep Busquets</t>
  </si>
  <si>
    <t>Maxi Fjellerup</t>
  </si>
  <si>
    <t>Sergi Martínez</t>
  </si>
  <si>
    <t>Aljaz Kunc</t>
  </si>
  <si>
    <t>David N'Guessan</t>
  </si>
  <si>
    <t>Nikola Maric</t>
  </si>
  <si>
    <t>Martinas Geben</t>
  </si>
  <si>
    <t>DJ Steward</t>
  </si>
  <si>
    <t>Ziga Samar</t>
  </si>
  <si>
    <t>Retin Obasohan</t>
  </si>
  <si>
    <t>Chase Audige</t>
  </si>
  <si>
    <t>Raúl Lobaco</t>
  </si>
  <si>
    <t>Dusan Radosavljevic</t>
  </si>
  <si>
    <t>Dani Díez</t>
  </si>
  <si>
    <t>Joaquín Taboada</t>
  </si>
  <si>
    <t>Vlatko Cancar</t>
  </si>
  <si>
    <t>Christian Sengfelder</t>
  </si>
  <si>
    <t>Pablo Almazán</t>
  </si>
  <si>
    <t>Balsa Koprivica</t>
  </si>
  <si>
    <t>Rubén Guerrero</t>
  </si>
  <si>
    <t>Trae Bell-Haynes</t>
  </si>
  <si>
    <t>Guillem Vives</t>
  </si>
  <si>
    <t>Sergi García</t>
  </si>
  <si>
    <t>Justin Jaworski</t>
  </si>
  <si>
    <t>Caleb Homesley</t>
  </si>
  <si>
    <t>Nico Brussino</t>
  </si>
  <si>
    <t>Miguel González</t>
  </si>
  <si>
    <t>Roberts Blumbergs</t>
  </si>
  <si>
    <t>Laurynas Birutis</t>
  </si>
  <si>
    <t>Gabriel Olaseni</t>
  </si>
  <si>
    <t>James Akinjo</t>
  </si>
  <si>
    <t>Kassius Robertson</t>
  </si>
  <si>
    <t>Aaron Best</t>
  </si>
  <si>
    <t>Kyle Kuric</t>
  </si>
  <si>
    <t>Wes Iwundu</t>
  </si>
  <si>
    <t>Chumi Ortega</t>
  </si>
  <si>
    <t>Lazar Mutic</t>
  </si>
  <si>
    <t>Cameron McGriff</t>
  </si>
  <si>
    <t>Kostas Kostadinov</t>
  </si>
  <si>
    <t>Owen Aquino</t>
  </si>
  <si>
    <t>Artem Pustovyi</t>
  </si>
  <si>
    <t>Leon Radosevic</t>
  </si>
  <si>
    <t>Brandon Childress</t>
  </si>
  <si>
    <t>Sergi Quintela</t>
  </si>
  <si>
    <t>Alex Barcello</t>
  </si>
  <si>
    <t>Caleb Agada</t>
  </si>
  <si>
    <t>Olle Lundqvist</t>
  </si>
  <si>
    <t>Leo Meindl</t>
  </si>
  <si>
    <t>Yunio Barrueta</t>
  </si>
  <si>
    <t>Diogo Brito</t>
  </si>
  <si>
    <t>Efe Abogidi</t>
  </si>
  <si>
    <t>Alejandro Galán</t>
  </si>
  <si>
    <t>Joel Soriano</t>
  </si>
  <si>
    <t>Felipe dos Anjos</t>
  </si>
  <si>
    <t>Alonso Faure</t>
  </si>
  <si>
    <t>Alonzo Verge Jr</t>
  </si>
  <si>
    <t>Caio Pacheco</t>
  </si>
  <si>
    <t>Dídac Cuevas</t>
  </si>
  <si>
    <t>Paul Jorgensen</t>
  </si>
  <si>
    <t>Tomas Dimsa</t>
  </si>
  <si>
    <t>Lukas Uleckas</t>
  </si>
  <si>
    <t>Guillem Jou</t>
  </si>
  <si>
    <t>Karlis Silins</t>
  </si>
  <si>
    <t>Jacobo Díaz</t>
  </si>
  <si>
    <t>Dino Radoncic</t>
  </si>
  <si>
    <t>George Conditt IV</t>
  </si>
  <si>
    <t>Dmytro Skapintsev</t>
  </si>
  <si>
    <t>Vuelve de cesión</t>
  </si>
  <si>
    <t>Puerto Rico</t>
  </si>
  <si>
    <t>Eslovenia</t>
  </si>
  <si>
    <t>Canadá</t>
  </si>
  <si>
    <t>Letonia</t>
  </si>
  <si>
    <t>Lituania</t>
  </si>
  <si>
    <t>Senegal</t>
  </si>
  <si>
    <t>Cantera</t>
  </si>
  <si>
    <t>Estonia</t>
  </si>
  <si>
    <t>Cuba</t>
  </si>
  <si>
    <t>Suecia</t>
  </si>
  <si>
    <t>Croacia</t>
  </si>
  <si>
    <t>Rumanía</t>
  </si>
  <si>
    <t>Reino Unido</t>
  </si>
  <si>
    <t>Polonia</t>
  </si>
  <si>
    <t>Uruguay</t>
  </si>
  <si>
    <t>Países Bajos</t>
  </si>
  <si>
    <t>Bosnia y Herzegovina</t>
  </si>
  <si>
    <t>Dinamarca</t>
  </si>
  <si>
    <t>Noruega</t>
  </si>
  <si>
    <t>Hungría</t>
  </si>
  <si>
    <t>Islandia</t>
  </si>
  <si>
    <t>Chequia</t>
  </si>
  <si>
    <t>Brasil</t>
  </si>
  <si>
    <t>Georgia</t>
  </si>
  <si>
    <t>Cesión</t>
  </si>
  <si>
    <t>RD Congo</t>
  </si>
  <si>
    <t>Alemania</t>
  </si>
  <si>
    <t>Bulgaria</t>
  </si>
  <si>
    <t>Serbia</t>
  </si>
  <si>
    <t>Montenegro</t>
  </si>
  <si>
    <t>Bélgica</t>
  </si>
  <si>
    <t>Portugal</t>
  </si>
  <si>
    <t>Nigeria</t>
  </si>
  <si>
    <t>Equipo</t>
  </si>
  <si>
    <t>Real Madrid</t>
  </si>
  <si>
    <t>Valencia Basket</t>
  </si>
  <si>
    <t>Kosner Baskonia</t>
  </si>
  <si>
    <t>UCAM Murcia</t>
  </si>
  <si>
    <t>Barça</t>
  </si>
  <si>
    <t>Asisa Joventut</t>
  </si>
  <si>
    <t>Surne Bilbao</t>
  </si>
  <si>
    <t>La Laguna Tenerife</t>
  </si>
  <si>
    <t>nombre</t>
  </si>
  <si>
    <t>foto</t>
  </si>
  <si>
    <t>fecha_nacimiento</t>
  </si>
  <si>
    <t>altura</t>
  </si>
  <si>
    <t>https://static.acb.com/media/PRO/00/00/82/67/55/0000826755_lpr_transparent.webp</t>
  </si>
  <si>
    <t>https://static.acb.com/media/PRO/00/00/83/35/84/0000833584_lpr_transparent.webp</t>
  </si>
  <si>
    <t>https://static.acb.com/media/PRO/00/00/83/37/25/0000833725_lpr_transparent.webp</t>
  </si>
  <si>
    <t>https://static.acb.com/media/PRO/00/00/83/36/98/0000833698_lpr_transparent.webp</t>
  </si>
  <si>
    <t>https://static.acb.com/media/PRO/00/00/83/37/43/0000833743_lpr_transparent.webp</t>
  </si>
  <si>
    <t>https://static.acb.com/media/PRO/00/00/83/34/68/0000833468_lpr_transparent.webp</t>
  </si>
  <si>
    <t>https://static.acb.com/media/PRO/00/00/83/35/40/0000833540_lpr_transparent.webp</t>
  </si>
  <si>
    <t>https://static.acb.com/media/PRO/00/00/82/96/38/0000829638_lpr_transparent.webp</t>
  </si>
  <si>
    <t>https://static.acb.com/media/PRO/00/00/83/15/30/0000831530_lpr_transparent.webp</t>
  </si>
  <si>
    <t>https://static.acb.com/media/PRO/00/00/83/13/37/0000831337_lpr_transparent.webp</t>
  </si>
  <si>
    <t>https://static.acb.com/media/PRO/00/00/83/14/58/0000831458_lpr_transparent.webp</t>
  </si>
  <si>
    <t>https://static.acb.com/media/PRO/00/00/83/16/05/0000831605_lpr_transparent.webp</t>
  </si>
  <si>
    <t>https://static.acb.com/media/PRO/00/00/83/14/15/0000831415_lpr_transparent.webp</t>
  </si>
  <si>
    <t>https://static.acb.com/media/PRO/00/00/83/16/69/0000831669_lpr_transparent.webp</t>
  </si>
  <si>
    <t>https://static.acb.com/media/PRO/00/00/77/53/76/0000775376_lpr_transparent.webp</t>
  </si>
  <si>
    <t>https://static.acb.com/media/PRO/00/00/82/75/08/0000827508_lpr_transparent.webp</t>
  </si>
  <si>
    <t>https://static.acb.com/media/PRO/00/00/83/16/47/0000831647_lpr_transparent.webp</t>
  </si>
  <si>
    <t>https://static.acb.com/media/PRO/00/00/83/15/79/0000831579_lpr_transparent.webp</t>
  </si>
  <si>
    <t>https://static.acb.com/media/PRO/00/00/83/13/77/0000831377_lpr_transparent.webp</t>
  </si>
  <si>
    <t>https://static.acb.com/media/PRO/00/00/83/15/52/0000831552_lpr_transparent.webp</t>
  </si>
  <si>
    <t>https://static.acb.com/media/PRO/00/00/82/96/21/0000829621_lpr_transparent.webp</t>
  </si>
  <si>
    <t>https://static.acb.com/media/PRO/00/00/82/96/61/0000829661_lpr_transparent.webp</t>
  </si>
  <si>
    <t>https://static.acb.com/media/PRO/00/00/82/95/34/0000829534_lpr_transparent.webp</t>
  </si>
  <si>
    <t>https://static.acb.com/media/PRO/00/00/82/72/20/0000827220_lpr_transparent.webp</t>
  </si>
  <si>
    <t>https://static.acb.com/media/PRO/00/00/82/95/99/0000829599_lpr_transparent.webp</t>
  </si>
  <si>
    <t>https://static.acb.com/media/PRO/00/00/82/70/82/0000827082_lpr_transparent.webp</t>
  </si>
  <si>
    <t>https://static.acb.com/media/PRO/00/00/88/25/39/0000882539_lpr_transparent.webp</t>
  </si>
  <si>
    <t>https://static.acb.com/media/PRO/00/00/82/92/72/0000829272_lpr_transparent.webp</t>
  </si>
  <si>
    <t>https://static.acb.com/media/PRO/00/00/82/97/47/0000829747_lpr_transparent.webp</t>
  </si>
  <si>
    <t>https://static.acb.com/media/PRO/00/00/83/29/64/0000832964_lpr_transparent.webp</t>
  </si>
  <si>
    <t>https://static.acb.com/media/PRO/00/00/88/26/07/0000882607_lpr_transparent.webp</t>
  </si>
  <si>
    <t>https://static.acb.com/media/PRO/00/00/82/72/49/0000827249_lpr_transparent.webp</t>
  </si>
  <si>
    <t>https://static.acb.com/media/PRO/00/00/82/68/47/0000826847_lpr_transparent.webp</t>
  </si>
  <si>
    <t>https://static.acb.com/media/PRO/00/00/88/22/39/0000882239_lpr_transparent.webp</t>
  </si>
  <si>
    <t>https://static.acb.com/media/PRO/00/00/88/25/79/0000882579_lpr_transparent.webp</t>
  </si>
  <si>
    <t>https://static.acb.com/media/PRO/00/00/83/57/75/0000835775_lpr_transparent.webp</t>
  </si>
  <si>
    <t>https://static.acb.com/media/PRO/00/00/83/58/50/0000835850_lpr_transparent.webp</t>
  </si>
  <si>
    <t>https://static.acb.com/media/PRO/00/00/83/57/43/0000835743_lpr_transparent.webp</t>
  </si>
  <si>
    <t>https://static.acb.com/media/PRO/00/00/83/56/64/0000835664_lpr_transparent.webp</t>
  </si>
  <si>
    <t>https://static.acb.com/media/PRO/00/00/91/84/35/0000918435_lpr_transparent.webp</t>
  </si>
  <si>
    <t>https://static.acb.com/media/PRO/00/00/83/31/64/0000833164_lpr_transparent.webp</t>
  </si>
  <si>
    <t>https://static.acb.com/media/PRO/00/00/83/26/60/0000832660_lpr_transparent.webp</t>
  </si>
  <si>
    <t>https://static.acb.com/media/PRO/00/00/83/30/45/0000833045_lpr_transparent.webp</t>
  </si>
  <si>
    <t>https://static.acb.com/media/PRO/00/00/83/30/24/0000833024_lpr_transparent.webp</t>
  </si>
  <si>
    <t>https://static.acb.com/media/PRO/00/00/83/30/95/0000833095_lpr_transparent.webp</t>
  </si>
  <si>
    <t>https://static.acb.com/media/PRO/00/00/83/31/32/0000833132_lpr_transparent.webp</t>
  </si>
  <si>
    <t>https://static.acb.com/media/PRO/00/00/83/32/47/0000833247_lpr_transparent.webp</t>
  </si>
  <si>
    <t>https://static.acb.com/media/PRO/00/00/84/74/17/0000847417_lpr_transparent.webp</t>
  </si>
  <si>
    <t>https://static.acb.com/media/PRO/00/00/83/36/21/0000833621_lpr_transparent.webp</t>
  </si>
  <si>
    <t>link</t>
  </si>
  <si>
    <t>https://acb.com/es/liga/jugadores/martin-krampelj-30000192</t>
  </si>
  <si>
    <t>https://acb.com/es/liga/jugadores/luke-petrasek-30003947</t>
  </si>
  <si>
    <t>https://acb.com/es/liga/jugadores/tryggvi-hlinason-20212461</t>
  </si>
  <si>
    <t>https://acb.com/es/liga/jugadores/marcelo-tieppo-20201760</t>
  </si>
  <si>
    <t>https://acb.com/es/liga/jugadores/bruno-fitipaldo-20212972</t>
  </si>
  <si>
    <t>https://acb.com/es/liga/jugadores/wesley-van-beck-30003999</t>
  </si>
  <si>
    <t>Jaime Fernández Bernabé</t>
  </si>
  <si>
    <t>https://acb.com/es/liga/jugadores/jaime-fernandez-20204124</t>
  </si>
  <si>
    <t>https://acb.com/es/liga/jugadores/rokas-giedraitis-30000306</t>
  </si>
  <si>
    <t>https://acb.com/es/liga/jugadores/xabier-lopez-arostegui-20211660</t>
  </si>
  <si>
    <t>https://acb.com/es/liga/jugadores/timothy-abromaitis-20211625</t>
  </si>
  <si>
    <t>https://acb.com/es/liga/jugadores/aaron-doornekamp-20212189</t>
  </si>
  <si>
    <t>https://acb.com/es/liga/jugadores/hector-alderete-20212488</t>
  </si>
  <si>
    <t>https://acb.com/es/liga/jugadores/giorgi-shermadini-20210659</t>
  </si>
  <si>
    <t>https://acb.com/es/liga/jugadores/itan-hap-30001954</t>
  </si>
  <si>
    <t>https://acb.com/es/liga/jugadores/kendrick-perry-30001977</t>
  </si>
  <si>
    <t>https://acb.com/es/liga/jugadores/alberto-diaz-20209226</t>
  </si>
  <si>
    <t>https://acb.com/es/liga/jugadores/jan-pantzar-20212357</t>
  </si>
  <si>
    <t>https://acb.com/es/liga/jugadores/cameron-hunt-30003415</t>
  </si>
  <si>
    <t>https://acb.com/es/liga/jugadores/tyler-kalinoski-30001169</t>
  </si>
  <si>
    <t>https://acb.com/es/liga/jugadores/nihad-dedovic-20202039</t>
  </si>
  <si>
    <t>https://acb.com/es/liga/jugadores/jhonatan-barreiro-20200191</t>
  </si>
  <si>
    <t>https://acb.com/es/liga/jugadores/jose-perez-30000053</t>
  </si>
  <si>
    <t>https://acb.com/es/liga/jugadores/guillermo-hernangomez-20209187</t>
  </si>
  <si>
    <t>https://acb.com/es/liga/jugadores/david-kravish-30000023</t>
  </si>
  <si>
    <t>https://acb.com/es/liga/jugadores/yannick-nzosa-30000479</t>
  </si>
  <si>
    <t>https://acb.com/es/liga/jugadores/hugo-benitez-30003943</t>
  </si>
  <si>
    <t>https://acb.com/es/liga/jugadores/ferran-bassas-20200243</t>
  </si>
  <si>
    <t>https://acb.com/es/liga/jugadores/rafael-villar-30001243</t>
  </si>
  <si>
    <t>https://acb.com/es/liga/jugadores/eric-vila-20211456</t>
  </si>
  <si>
    <t>https://acb.com/es/liga/jugadores/pierre-oriola-20202164</t>
  </si>
  <si>
    <t>https://acb.com/es/liga/jugadores/dominik-mavra-20212431</t>
  </si>
  <si>
    <t>https://acb.com/es/liga/jugadores/erik-quintela-30001182</t>
  </si>
  <si>
    <t>https://acb.com/es/liga/jugadores/francisco-alonso-20210585</t>
  </si>
  <si>
    <t>https://acb.com/es/liga/jugadores/aleksandar-aranitovic-30003394</t>
  </si>
  <si>
    <t>https://acb.com/es/liga/jugadores/mihajlo-andric-30002695</t>
  </si>
  <si>
    <t>https://acb.com/es/liga/jugadores/danko-brankovic-30004004</t>
  </si>
  <si>
    <t>https://acb.com/es/liga/jugadores/jordan-djounorou-20212244</t>
  </si>
  <si>
    <t>https://acb.com/es/liga/jugadores/jassel-perez-30005191</t>
  </si>
  <si>
    <t>https://acb.com/es/liga/jugadores/josep-busquets-20211754</t>
  </si>
  <si>
    <t>https://acb.com/es/liga/jugadores/maximo-fjellerup-30001997</t>
  </si>
  <si>
    <t>https://acb.com/es/liga/jugadores/sergi-martinez-20210335</t>
  </si>
  <si>
    <t>https://acb.com/es/liga/jugadores/nikola-maric-20211466</t>
  </si>
  <si>
    <t>https://acb.com/es/liga/jugadores/martinas-geben-30002443</t>
  </si>
  <si>
    <t>https://acb.com/es/liga/jugadores/ziga-samar-30000291</t>
  </si>
  <si>
    <t>https://acb.com/es/liga/jugadores/retin-obasohan-30003414</t>
  </si>
  <si>
    <t>https://acb.com/es/liga/jugadores/chase-audige-30005183</t>
  </si>
  <si>
    <t>https://acb.com/es/liga/jugadores/daniel-diez-20204156</t>
  </si>
  <si>
    <t>https://acb.com/es/liga/jugadores/joaquin-taboada-30004052</t>
  </si>
  <si>
    <t>https://acb.com/es/liga/jugadores/pablo-almazan-20204078</t>
  </si>
  <si>
    <t>https://acb.com/es/liga/jugadores/ruben-guerrero-20210707</t>
  </si>
  <si>
    <t>https://acb.com/es/liga/jugadores/trae-bell-haynes-30001171</t>
  </si>
  <si>
    <t>https://acb.com/es/liga/jugadores/guillem-vives-20204158</t>
  </si>
  <si>
    <t>https://acb.com/es/liga/jugadores/sergi-garcia-20210685</t>
  </si>
  <si>
    <t>https://acb.com/es/liga/jugadores/justin-jaworski-30003944</t>
  </si>
  <si>
    <t>https://acb.com/es/liga/jugadores/nicolas-brussino-20212648</t>
  </si>
  <si>
    <t>https://acb.com/es/liga/jugadores/miguel-gonzalez-20212476</t>
  </si>
  <si>
    <t>Jaime Fernández Manzanares</t>
  </si>
  <si>
    <t>https://acb.com/es/liga/jugadores/jaime-fernandez-20212348</t>
  </si>
  <si>
    <t>https://acb.com/es/liga/jugadores/abodunrin-olaseni-20212451</t>
  </si>
  <si>
    <t>https://acb.com/es/liga/jugadores/kassius-robertson-30000287</t>
  </si>
  <si>
    <t>https://acb.com/es/liga/jugadores/aaron-best-30003968</t>
  </si>
  <si>
    <t>https://acb.com/es/liga/jugadores/kyle-kuric-20210232</t>
  </si>
  <si>
    <t>https://acb.com/es/liga/jugadores/jose-ortega-20210959</t>
  </si>
  <si>
    <t>https://acb.com/es/liga/jugadores/konstantin-kostadinov-30003367</t>
  </si>
  <si>
    <t>https://acb.com/es/liga/jugadores/artem-pustovyi-20211643</t>
  </si>
  <si>
    <t>https://acb.com/es/liga/jugadores/caleb-apochi-agada-30003988</t>
  </si>
  <si>
    <t>https://acb.com/es/liga/jugadores/leonardo-simoes-30000294</t>
  </si>
  <si>
    <t>https://acb.com/es/liga/jugadores/joel-soriano-30003936</t>
  </si>
  <si>
    <t>https://static.acb.com/media/PRO/00/00/83/58/73/0000835873_lpr_transparent.webp</t>
  </si>
  <si>
    <t>https://static.acb.com/media/PRO/00/00/83/58/32/0000835832_lpr_transparent.webp</t>
  </si>
  <si>
    <t>https://static.acb.com/media/PRO/00/00/83/59/57/0000835957_lpr_transparent.webp</t>
  </si>
  <si>
    <t>https://static.acb.com/media/PRO/00/00/83/11/09/0000831109_lpr_transparent.webp</t>
  </si>
  <si>
    <t>https://static.acb.com/media/PRO/00/00/83/09/34/0000830934_lpr_transparent.webp</t>
  </si>
  <si>
    <t>https://static.acb.com/media/PRO/00/00/83/11/98/0000831198_lpr_transparent.webp</t>
  </si>
  <si>
    <t>https://static.acb.com/media/PRO/00/00/83/10/35/0000831035_lpr_transparent.webp</t>
  </si>
  <si>
    <t>https://static.acb.com/media/PRO/00/00/83/11/45/0000831145_lpr_transparent.webp</t>
  </si>
  <si>
    <t>https://static.acb.com/media/PRO/00/00/85/19/70/0000851970_lpr_transparent.webp</t>
  </si>
  <si>
    <t>https://static.acb.com/media/PRO/00/00/83/11/80/0000831180_lpr_transparent.webp</t>
  </si>
  <si>
    <t>https://static.acb.com/media/PRO/00/00/83/09/13/0000830913_lpr_transparent.webp</t>
  </si>
  <si>
    <t>https://static.acb.com/media/PRO/00/00/83/10/22/0000831022_lpr_transparent.webp</t>
  </si>
  <si>
    <t>https://static.acb.com/media/PRO/00/00/83/10/03/0000831003_lpr_transparent.webp</t>
  </si>
  <si>
    <t>https://static.acb.com/media/PRO/00/00/86/18/78/0000861878_lpr_transparent.webp</t>
  </si>
  <si>
    <t>https://static.acb.com/media/PRO/00/00/82/69/59/0000826959_lpr_transparent.webp</t>
  </si>
  <si>
    <t>https://static.acb.com/media/PRO/00/00/82/67/01/0000826701_lpr_transparent.webp</t>
  </si>
  <si>
    <t>https://static.acb.com/media/PRO/00/00/83/58/95/0000835895_lpr_transparent.webp</t>
  </si>
  <si>
    <t>https://static.acb.com/media/PRO/00/00/88/22/74/0000882274_lpr_transparent.webp</t>
  </si>
  <si>
    <t>https://static.acb.com/media/PRO/00/00/82/71/16/0000827116_lpr_transparent.webp</t>
  </si>
  <si>
    <t>https://static.acb.com/media/PRO/00/00/82/70/48/0000827048_lpr_transparent.webp</t>
  </si>
  <si>
    <t>https://static.acb.com/media/PRO/00/00/82/69/24/0000826924_lpr_transparent.webp</t>
  </si>
  <si>
    <t>https://static.acb.com/media/PRO/00/00/82/71/45/0000827145_lpr_transparent.webp</t>
  </si>
  <si>
    <t>https://static.acb.com/media/PRO/00/00/82/98/51/0000829851_lpr_transparent.webp</t>
  </si>
  <si>
    <t>https://static.acb.com/media/PRO/00/00/82/68/13/0000826813_lpr_transparent.webp</t>
  </si>
  <si>
    <t>https://static.acb.com/media/PRO/00/00/83/28/52/0000832852_lpr_transparent.webp</t>
  </si>
  <si>
    <t>https://static.acb.com/media/PRO/00/00/82/74/22/0000827422_lpr_transparent.webp</t>
  </si>
  <si>
    <t>https://static.acb.com/media/PRO/00/00/86/74/90/0000867490_lpr_transparent.webp</t>
  </si>
  <si>
    <t>https://static.acb.com/media/PRO/00/00/83/36/76/0000833676_lpr_transparent.webp</t>
  </si>
  <si>
    <t>https://static.acb.com/media/PRO/00/00/82/63/87/0000826387_lpr_transparent.webp</t>
  </si>
  <si>
    <t>https://static.acb.com/media/PRO/00/00/85/87/20/0000858720_lpr_transparent.webp</t>
  </si>
  <si>
    <t>https://static.acb.com/media/PRO/00/00/83/24/39/0000832439_lpr_transparent.webp</t>
  </si>
  <si>
    <t>https://static.acb.com/media/PRO/00/00/83/24/88/0000832488_lpr_transparent.webp</t>
  </si>
  <si>
    <t>https://static.acb.com/media/PRO/00/00/83/25/09/0000832509_lpr_transparent.webp</t>
  </si>
  <si>
    <t>https://static.acb.com/media/PRO/00/00/83/23/18/0000832318_lpr_transparent.webp</t>
  </si>
  <si>
    <t>https://static.acb.com/media/PRO/00/00/83/60/87/0000836087_lpr_transparent.webp</t>
  </si>
  <si>
    <t>https://static.acb.com/media/PRO/00/00/83/23/82/0000832382_lpr_transparent.webp</t>
  </si>
  <si>
    <t>https://static.acb.com/media/PRO/00/00/83/25/30/0000832530_lpr_transparent.webp</t>
  </si>
  <si>
    <t>https://static.acb.com/media/PRO/00/00/86/62/30/0000866230_lpr_transparent.webp</t>
  </si>
  <si>
    <t>https://static.acb.com/media/PRO/00/00/83/02/05/0000830205_lpr_transparent.webp</t>
  </si>
  <si>
    <t>https://static.acb.com/media/PRO/00/00/83/00/93/0000830093_lpr_transparent.webp</t>
  </si>
  <si>
    <t>https://static.acb.com/media/PRO/00/00/83/02/45/0000830245_lpr_transparent.webp</t>
  </si>
  <si>
    <t>https://static.acb.com/media/PRO/00/00/83/01/41/0000830141_lpr_transparent.webp</t>
  </si>
  <si>
    <t>https://static.acb.com/media/PRO/00/00/83/00/71/0000830071_lpr_transparent.webp</t>
  </si>
  <si>
    <t>https://static.acb.com/media/PRO/00/00/82/66/73/0000826673_lpr_transparent.webp</t>
  </si>
  <si>
    <t>https://static.acb.com/media/PRO/00/00/82/75/63/0000827563_lpr_transparent.webp</t>
  </si>
  <si>
    <t>https://static.acb.com/media/PRO/00/00/86/18/52/0000861852_lpr_transparent.webp</t>
  </si>
  <si>
    <t>https://static.acb.com/media/PRO/00/00/83/26/38/0000832638_lpr_transparent.webp</t>
  </si>
  <si>
    <t>https://static.acb.com/media/PRO/00/00/85/09/88/0000850988_lpr_transparent.webp</t>
  </si>
  <si>
    <t>https://static.acb.com/media/PRO/00/00/83/27/97/0000832797_lpr_transparent.webp</t>
  </si>
  <si>
    <t>https://static.acb.com/media/PRO/00/00/82/88/99/0000828899_lpr_transparent.webp</t>
  </si>
  <si>
    <t>https://static.acb.com/media/PRO/00/00/82/62/34/0000826234_lpr_transparent.webp</t>
  </si>
  <si>
    <t>https://static.acb.com/media/PRO/00/00/88/23/51/0000882351_lpr_transparent.webp</t>
  </si>
  <si>
    <t>https://static.acb.com/media/PRO/00/00/84/13/33/0000841333_lpr_transparent.webp</t>
  </si>
  <si>
    <t>https://static.acb.com/media/PRO/00/00/83/58/03/0000835803_lpr_transparent.webp</t>
  </si>
  <si>
    <t>https://static.acb.com/media/PRO/00/00/82/66/22/0000826622_lpr_transparent.webp</t>
  </si>
  <si>
    <t>https://static.acb.com/media/PRO/00/00/82/61/30/0000826130_lpr_transparent.webp</t>
  </si>
  <si>
    <t>https://static.acb.com/media/PRO/00/00/82/59/85/0000825985_lpr_transparent.webp</t>
  </si>
  <si>
    <t>https://static.acb.com/media/PRO/00/00/91/75/01/0000917501_lpr_transparent.webp</t>
  </si>
  <si>
    <t>https://static.acb.com/media/PRO/00/00/87/73/63/0000877363_lpr_transparent.webp</t>
  </si>
  <si>
    <t>https://static.acb.com/media/PRO/00/00/82/86/23/0000828623_lpr_transparent.webp</t>
  </si>
  <si>
    <t>https://static.acb.com/media/PRO/00/00/82/88/02/0000828802_lpr_transparent.webp</t>
  </si>
  <si>
    <t>https://static.acb.com/media/PRO/00/00/82/87/18/0000828718_lpr_transparent.webp</t>
  </si>
  <si>
    <t>https://static.acb.com/media/PRO/00/00/90/38/62/0000903862_lpr_transparent.webp</t>
  </si>
  <si>
    <t>https://static.acb.com/media/PRO/00/00/82/86/83/0000828683_lpr_transparent.webp</t>
  </si>
  <si>
    <t>https://static.acb.com/media/PRO/00/00/83/38/39/0000833839_lpr_transparent.webp</t>
  </si>
  <si>
    <t>https://static.acb.com/media/PRO/00/00/83/27/63/0000832763_lpr_transparent.webp</t>
  </si>
  <si>
    <t>https://static.acb.com/media/PRO/00/00/82/60/64/0000826064_lpr_transparent.webp</t>
  </si>
  <si>
    <t>Unicaja</t>
  </si>
  <si>
    <t>Kids&amp;Us Manresa</t>
  </si>
  <si>
    <t>Río Breogán</t>
  </si>
  <si>
    <t>FIATC Girona</t>
  </si>
  <si>
    <t>Recoletas San Pablo Burgos</t>
  </si>
  <si>
    <t>Casademont Zaragoza</t>
  </si>
  <si>
    <t>MoraBanc Andorra</t>
  </si>
  <si>
    <t>Monbus Obradoiro</t>
  </si>
  <si>
    <t>Leyma Coruña</t>
  </si>
  <si>
    <t>TJ Bamba</t>
  </si>
  <si>
    <t>jugador</t>
  </si>
  <si>
    <t>https://static.acb.com/media/PRO/00/00/78/40/86/0000784086_lpr_transparent.webp</t>
  </si>
  <si>
    <t>http://assets.fiba.basketball/image/upload/w_2000/f_auto/q_auto/v1731335669/ixnotudf6nlodgl1l3c5.png</t>
  </si>
  <si>
    <t>https://cdn.nba.com/headshots/nba/latest/1040x760/1631243.png</t>
  </si>
  <si>
    <t>https://cdn.nba.com/headshots/nba/latest/1040x760/1630639.png</t>
  </si>
  <si>
    <t>https://cdn.nba.com/headshots/nba/latest/1040x760/1630649.png</t>
  </si>
  <si>
    <t>https://cdn.nba.com/headshots/nba/latest/1040x760/1630644.png</t>
  </si>
  <si>
    <t>https://cdn.nba.com/headshots/nba/latest/1040x760/1631213.png</t>
  </si>
  <si>
    <t>https://cdn.nba.com/headshots/nba/latest/1040x760/1641787.png</t>
  </si>
  <si>
    <t>https://cdn.nba.com/headshots/nba/latest/1040x760/1628427.png</t>
  </si>
  <si>
    <t>https://imagenes.feb.es/Foto.aspx?c=2822575</t>
  </si>
  <si>
    <t>https://imagenes.feb.es/Foto.aspx?c=2082685</t>
  </si>
  <si>
    <t>https://imagenes.feb.es/Foto.aspx?c=1702420</t>
  </si>
  <si>
    <t>https://imagenes.feb.es/Foto.aspx?c=1715117</t>
  </si>
  <si>
    <t>https://imagenes.feb.es/Foto.aspx?c=2820727</t>
  </si>
  <si>
    <t>https://imagenes.feb.es/Foto.aspx?c=1778999</t>
  </si>
  <si>
    <t>https://imagenes.feb.es/Foto.aspx?c=1978545</t>
  </si>
  <si>
    <t>https://imagenes.feb.es/Foto.aspx?c=2220063</t>
  </si>
  <si>
    <t>https://imagenes.feb.es/Foto.aspx?c=2640794</t>
  </si>
  <si>
    <t>https://imagenes.feb.es/Foto.aspx?c=2482605</t>
  </si>
  <si>
    <t>https://imagenes.feb.es/Foto.aspx?c=2524267</t>
  </si>
  <si>
    <t>https://imagenes.feb.es/Foto.aspx?c=2528063</t>
  </si>
  <si>
    <t>https://imagenes.feb.es/Foto.aspx?c=1836771</t>
  </si>
  <si>
    <t>https://imagenes.feb.es/Foto.aspx?c=2219665</t>
  </si>
  <si>
    <t>https://imagenes.feb.es/Foto.aspx?c=1853585</t>
  </si>
  <si>
    <t>https://imagenes.feb.es/Foto.aspx?c=2644143</t>
  </si>
  <si>
    <t>https://imagenes.feb.es/Foto.aspx?c=2557970</t>
  </si>
  <si>
    <t>https://imagenes.feb.es/Foto.aspx?c=2371535</t>
  </si>
  <si>
    <t>https://imagenes.feb.es/Foto.aspx?c=1491674</t>
  </si>
  <si>
    <t>https://imagenes.feb.es/Foto.aspx?c=1541543</t>
  </si>
  <si>
    <t>https://imagenes.feb.es/Foto.aspx?c=2843861</t>
  </si>
  <si>
    <t>https://cdn.nba.com/headshots/nba/latest/1040x760/1628411.png</t>
  </si>
  <si>
    <t>https://ak-static.cms.nba.com/wp-content/uploads/headshots/gleague/1040x760/1641878.png</t>
  </si>
  <si>
    <t>https://ak-static.cms.nba.com/wp-content/uploads/headshots/gleague/1040x760/1630787.png</t>
  </si>
  <si>
    <t>https://ak-static.cms.nba.com/wp-content/uploads/headshots/gleague/1040x760/1631285.png</t>
  </si>
  <si>
    <t>https://ak-static.cms.nba.com/wp-content/uploads/headshots/gleague/1040x760/1631231.png</t>
  </si>
  <si>
    <t>https://cdn.nba.com/headshots/nba/latest/1040x760/1643158.png</t>
  </si>
  <si>
    <t xml:space="preserve">https://www.euroleaguebasketball.net/en/eurocup/players/dj-stewart/012700/ </t>
  </si>
  <si>
    <t xml:space="preserve">https://www.euroleaguebasketball.net/en/eurocup/players/umoja-gibson/013855/ </t>
  </si>
  <si>
    <t xml:space="preserve">https://www.euroleaguebasketball.net/en/eurocup/players/amine-noua/006068/ </t>
  </si>
  <si>
    <t xml:space="preserve">https://www.euroleaguebasketball.net/en/eurocup/players/yordan-minchev/007423/ </t>
  </si>
  <si>
    <t xml:space="preserve">https://www.euroleaguebasketball.net/en/eurocup/players/dj-steward/013861/ </t>
  </si>
  <si>
    <t xml:space="preserve">https://www.euroleaguebasketball.net/en/eurocup/players/christian-sengfelder/013917/ </t>
  </si>
  <si>
    <t xml:space="preserve">https://www.euroleaguebasketball.net/en/eurocup/players/balsa-koprivica/011050/ </t>
  </si>
  <si>
    <t xml:space="preserve">https://www.euroleaguebasketball.net/en/eurocup/players/caleb-homesley/011251/ </t>
  </si>
  <si>
    <t xml:space="preserve">https://www.euroleaguebasketball.net/en/eurocup/players/lazar-mutic/013864/ </t>
  </si>
  <si>
    <t xml:space="preserve">https://www.euroleaguebasketball.net/en/eurocup/players/dmytro-skapintsev/013905/ </t>
  </si>
  <si>
    <t xml:space="preserve">https://www.euroleaguebasketball.net/en/euroleague/players/tj-shorts/012608/ </t>
  </si>
  <si>
    <t xml:space="preserve">https://www.euroleaguebasketball.net/en/euroleague/players/armoni-brooks/013384/ </t>
  </si>
  <si>
    <t xml:space="preserve">https://www.euroleaguebasketball.net/en/euroleague/players/dylan-osetkowski/010581/ </t>
  </si>
  <si>
    <t xml:space="preserve">https://www.euroleaguebasketball.net/en/euroleague/players/justin-robinson/014008/ </t>
  </si>
  <si>
    <t xml:space="preserve">https://www.euroleaguebasketball.net/en/euroleague/players/josh-nebo/011199/ </t>
  </si>
  <si>
    <t xml:space="preserve">https://www.euroleaguebasketball.net/en/euroleague/players/boogie-ellis/014157/ </t>
  </si>
  <si>
    <t xml:space="preserve">https://www.euroleaguebasketball.net/en/euroleague/players/bastien-vautier/014014/ </t>
  </si>
  <si>
    <t xml:space="preserve">https://www.euroleaguebasketball.net/en/euroleague/players/ignas-brazdeikis/011983/ </t>
  </si>
  <si>
    <t xml:space="preserve">https://www.euroleaguebasketball.net/en/euroleague/players/laurynas-birutis/005504/ </t>
  </si>
  <si>
    <t xml:space="preserve">https://www.euroleaguebasketball.net/en/euroleague/players/leon-radosevic/lem/ </t>
  </si>
  <si>
    <t>dob</t>
  </si>
  <si>
    <t>https://media-cdn.cortextech.io/dd9bcf27-807d-4de7-8797-5b659b95eb0a.png</t>
  </si>
  <si>
    <t>https://media-cdn.cortextech.io/8b9744f1-350d-400a-b644-a59b83c7e19a.png</t>
  </si>
  <si>
    <t>https://media-cdn.cortextech.io/1dU3kpCqReRp93/1BSdBWIjCbqck7/eb206bb3-3e1f-488d-b1fe-ecfcbab13249.png</t>
  </si>
  <si>
    <t>https://media-cdn.cortextech.io/be7ac987-733b-4c31-b7d0-a679cc9bf90e.png</t>
  </si>
  <si>
    <t>https://media-cdn.cortextech.io/8163227a-e1a5-4219-907b-196214ad7637.png</t>
  </si>
  <si>
    <t>https://media-cdn.cortextech.io/5f3afa4d-663f-463d-a1ad-c9fb05a9b2ef.png</t>
  </si>
  <si>
    <t>https://media-cdn.cortextech.io/c6a7ff2f-a4da-4ac0-9a7c-3236f143336a.png</t>
  </si>
  <si>
    <t>https://media-cdn.cortextech.io/0d3640a2-d499-462b-8d27-02fac053abfc.png</t>
  </si>
  <si>
    <t>https://media-cdn.cortextech.io/d71392b0-1f1c-4600-a6cb-172423fbb777.png</t>
  </si>
  <si>
    <t>https://media-cdn.cortextech.io/b7a5652c-08e6-4446-a8bd-3dbff1f2034d.png</t>
  </si>
  <si>
    <t>https://media-cdn.cortextech.io/c0323c00-43ae-41c3-ba0a-cffbb4e3854b.png</t>
  </si>
  <si>
    <t>https://media-cdn.cortextech.io/8c4d5e17-01aa-4f77-99b1-207d7c82d195.png</t>
  </si>
  <si>
    <t>https://media-cdn.cortextech.io/d5277fb5-a978-453b-bfcb-731c5704609c.png</t>
  </si>
  <si>
    <t>https://media-cdn.cortextech.io/37224ff3-e0d3-48a2-b1a0-fb72065b24f8.png</t>
  </si>
  <si>
    <t>https://media-cdn.cortextech.io/2d5f84ef-ad28-4415-96b2-685be51d4a2f.png</t>
  </si>
  <si>
    <t>https://media-cdn.cortextech.io/b2638a60-244f-4304-9294-16a4b3ecd667.png</t>
  </si>
  <si>
    <t>https://media-cdn.cortextech.io/b33e8226-0dfc-4169-b7db-4e5c81590d55.png</t>
  </si>
  <si>
    <t>https://media-cdn.cortextech.io/32aea757-dc80-4848-82f4-525b77e0eb0d.png</t>
  </si>
  <si>
    <t>https://media-cdn.cortextech.io/ec9e23f4-7618-42d7-9ccd-05bb89fe2e4b.png</t>
  </si>
  <si>
    <t>https://media-cdn.incrowdsports.com/9951cb2d-b0cf-4ffa-8ffd-1a98b44009eb.png</t>
  </si>
  <si>
    <t>https://acb.com/_next/image?url=https%3A%2F%2Fstatic.acb.com%2Fmedia%2FPRO%2F00%2F00%2F56%2F69%2F31%2F0000566931_lpr_transparent.webp&amp;w=1200&amp;q=75</t>
  </si>
  <si>
    <t>https://lsusports.net/imgproxy/Yn_4fIjE1BMlaxIDpHu527piAsa6FEc_hZa7O2T2RMY/rs:fit:1600:0:0:0/q:90/aHR0cHM6Ly9zdG9yYWdlLmdvb2dsZWFwaXMuY29tL2xzdXNwb3J0cy1uZXQtcHJvZC8yMDI1LzA3LzIzOWI4MTBmLXBhYmxvX3RhbWJhXzIwMjVhLmpwZw.jpg</t>
  </si>
  <si>
    <t>https://highpointpanthers.com/images/2025/10/7/Owen_Aquino_Headshot_oVc3r.png?width=146</t>
  </si>
  <si>
    <t>https://acb.com/_next/image?url=https%3A%2F%2Fstatic.acb.com%2Fmedia%2FPRO%2F00%2F00%2F56%2F72%2F79%2F0000567279_lpr_transparent.webp&amp;w=1200&amp;q=75</t>
  </si>
  <si>
    <t>https://www.proballers.com/media/cache/headshot_600/player/headshot/75959.png</t>
  </si>
  <si>
    <t>https://www.proballers.com/media/cache/headshot_600/player/headshot/189276.png</t>
  </si>
  <si>
    <t>https://www.proballers.com/media/cache/headshot_600/player/headshot/181341.png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</si>
</sst>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quotePrefix="1"/>
    <xf numFmtId="15" fontId="0" fillId="0" borderId="0" xfId="0" applyNumberFormat="1"/>
    <xf numFmtId="14" fontId="0" fillId="0" borderId="0" xfId="0" applyNumberFormat="1" applyAlignment="1">
      <alignment horizontal="right"/>
    </xf>
    <xf numFmtId="2" fontId="0" fillId="0" borderId="0" xfId="0" applyNumberFormat="1"/>
    <xf numFmtId="0" fontId="0" fillId="0" borderId="0" xfId="0" applyAlignment="1">
      <alignment horizontal="left"/>
    </xf>
    <xf numFmtId="0" fontId="18" fillId="0" borderId="0" xfId="42"/>
    <xf numFmtId="1" fontId="0" fillId="0" borderId="0" xfId="0" applyNumberFormat="1" applyAlignment="1">
      <alignment horizontal="left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uroleaguebasketball.net/en/eurocup/players/caleb-homesley/011251/" TargetMode="External"/><Relationship Id="rId13" Type="http://schemas.openxmlformats.org/officeDocument/2006/relationships/hyperlink" Target="https://www.euroleaguebasketball.net/en/euroleague/players/dylan-osetkowski/010581/" TargetMode="External"/><Relationship Id="rId18" Type="http://schemas.openxmlformats.org/officeDocument/2006/relationships/hyperlink" Target="https://www.euroleaguebasketball.net/en/euroleague/players/ignas-brazdeikis/011983/" TargetMode="External"/><Relationship Id="rId3" Type="http://schemas.openxmlformats.org/officeDocument/2006/relationships/hyperlink" Target="https://www.euroleaguebasketball.net/en/eurocup/players/amine-noua/006068/" TargetMode="External"/><Relationship Id="rId7" Type="http://schemas.openxmlformats.org/officeDocument/2006/relationships/hyperlink" Target="https://www.euroleaguebasketball.net/en/eurocup/players/balsa-koprivica/011050/" TargetMode="External"/><Relationship Id="rId12" Type="http://schemas.openxmlformats.org/officeDocument/2006/relationships/hyperlink" Target="https://www.euroleaguebasketball.net/en/euroleague/players/armoni-brooks/013384/" TargetMode="External"/><Relationship Id="rId17" Type="http://schemas.openxmlformats.org/officeDocument/2006/relationships/hyperlink" Target="https://www.euroleaguebasketball.net/en/euroleague/players/bastien-vautier/014014/" TargetMode="External"/><Relationship Id="rId2" Type="http://schemas.openxmlformats.org/officeDocument/2006/relationships/hyperlink" Target="https://www.euroleaguebasketball.net/en/eurocup/players/umoja-gibson/013855/" TargetMode="External"/><Relationship Id="rId16" Type="http://schemas.openxmlformats.org/officeDocument/2006/relationships/hyperlink" Target="https://www.euroleaguebasketball.net/en/euroleague/players/boogie-ellis/014157/" TargetMode="External"/><Relationship Id="rId20" Type="http://schemas.openxmlformats.org/officeDocument/2006/relationships/hyperlink" Target="https://www.euroleaguebasketball.net/en/euroleague/players/leon-radosevic/lem/" TargetMode="External"/><Relationship Id="rId1" Type="http://schemas.openxmlformats.org/officeDocument/2006/relationships/hyperlink" Target="https://www.euroleaguebasketball.net/en/eurocup/players/dj-stewart/012700/" TargetMode="External"/><Relationship Id="rId6" Type="http://schemas.openxmlformats.org/officeDocument/2006/relationships/hyperlink" Target="https://www.euroleaguebasketball.net/en/eurocup/players/christian-sengfelder/013917/" TargetMode="External"/><Relationship Id="rId11" Type="http://schemas.openxmlformats.org/officeDocument/2006/relationships/hyperlink" Target="https://www.euroleaguebasketball.net/en/euroleague/players/tj-shorts/012608/" TargetMode="External"/><Relationship Id="rId5" Type="http://schemas.openxmlformats.org/officeDocument/2006/relationships/hyperlink" Target="https://www.euroleaguebasketball.net/en/eurocup/players/dj-steward/013861/" TargetMode="External"/><Relationship Id="rId15" Type="http://schemas.openxmlformats.org/officeDocument/2006/relationships/hyperlink" Target="https://www.euroleaguebasketball.net/en/euroleague/players/josh-nebo/011199/" TargetMode="External"/><Relationship Id="rId10" Type="http://schemas.openxmlformats.org/officeDocument/2006/relationships/hyperlink" Target="https://www.euroleaguebasketball.net/en/eurocup/players/dmytro-skapintsev/013905/" TargetMode="External"/><Relationship Id="rId19" Type="http://schemas.openxmlformats.org/officeDocument/2006/relationships/hyperlink" Target="https://www.euroleaguebasketball.net/en/euroleague/players/laurynas-birutis/005504/" TargetMode="External"/><Relationship Id="rId4" Type="http://schemas.openxmlformats.org/officeDocument/2006/relationships/hyperlink" Target="https://www.euroleaguebasketball.net/en/eurocup/players/yordan-minchev/007423/" TargetMode="External"/><Relationship Id="rId9" Type="http://schemas.openxmlformats.org/officeDocument/2006/relationships/hyperlink" Target="https://www.euroleaguebasketball.net/en/eurocup/players/lazar-mutic/013864/" TargetMode="External"/><Relationship Id="rId14" Type="http://schemas.openxmlformats.org/officeDocument/2006/relationships/hyperlink" Target="https://www.euroleaguebasketball.net/en/euroleague/players/justin-robinson/014008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edia-cdn.cortextech.io/1dU3kpCqReRp93/1BSdBWIjCbqck7/eb206bb3-3e1f-488d-b1fe-ecfcbab13249.p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cb.com/es/liga/jugadores/marcelo-tieppo-202017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3E588-748C-47B8-946F-60C520D829FA}">
  <dimension ref="A1:P222"/>
  <sheetViews>
    <sheetView topLeftCell="A13" workbookViewId="0">
      <selection activeCell="K27" sqref="K27"/>
    </sheetView>
  </sheetViews>
  <sheetFormatPr baseColWidth="10" defaultRowHeight="14.4" x14ac:dyDescent="0.3"/>
  <cols>
    <col min="3" max="3" width="16.109375" bestFit="1" customWidth="1"/>
    <col min="6" max="6" width="13.21875" bestFit="1" customWidth="1"/>
    <col min="7" max="7" width="12.21875" customWidth="1"/>
    <col min="15" max="15" width="11.5546875" style="1"/>
  </cols>
  <sheetData>
    <row r="1" spans="1:16" x14ac:dyDescent="0.3">
      <c r="A1" t="s">
        <v>301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6" x14ac:dyDescent="0.3">
      <c r="A2" t="s">
        <v>303</v>
      </c>
      <c r="B2" t="s">
        <v>11</v>
      </c>
      <c r="C2" t="s">
        <v>64</v>
      </c>
      <c r="D2" t="s">
        <v>578</v>
      </c>
      <c r="E2" t="s">
        <v>14</v>
      </c>
      <c r="F2" t="s">
        <v>50</v>
      </c>
      <c r="G2" s="4">
        <v>35718</v>
      </c>
      <c r="H2">
        <v>175</v>
      </c>
      <c r="I2">
        <v>2028</v>
      </c>
      <c r="J2" t="s">
        <v>35</v>
      </c>
      <c r="N2" t="str">
        <f>IFERROR(VLOOKUP($C2,prova!$A$1:$D$250,2,FALSE),"")</f>
        <v>https://media-cdn.cortextech.io/c0323c00-43ae-41c3-ba0a-cffbb4e3854b.png</v>
      </c>
      <c r="O2" s="1">
        <f>IFERROR(VLOOKUP($C2,prova!$A$1:$D$250,3,FALSE),"")</f>
        <v>35718</v>
      </c>
      <c r="P2">
        <f>IFERROR(VLOOKUP($C2,prova!$A$1:$D$250,4,FALSE),"")</f>
        <v>175</v>
      </c>
    </row>
    <row r="3" spans="1:16" x14ac:dyDescent="0.3">
      <c r="A3" t="s">
        <v>303</v>
      </c>
      <c r="B3" t="s">
        <v>11</v>
      </c>
      <c r="C3" t="s">
        <v>65</v>
      </c>
      <c r="D3" t="s">
        <v>512</v>
      </c>
      <c r="E3" t="s">
        <v>26</v>
      </c>
      <c r="F3" t="s">
        <v>27</v>
      </c>
      <c r="G3" s="4">
        <v>38821</v>
      </c>
      <c r="H3">
        <v>192</v>
      </c>
      <c r="I3">
        <v>2030</v>
      </c>
      <c r="J3" t="s">
        <v>35</v>
      </c>
      <c r="N3" t="str">
        <f>IFERROR(VLOOKUP($C3,prova!$A$1:$D$250,2,FALSE),"")</f>
        <v>http://assets.fiba.basketball/image/upload/w_2000/f_auto/q_auto/v1731335669/ixnotudf6nlodgl1l3c5.png</v>
      </c>
      <c r="O3" s="1">
        <f>IFERROR(VLOOKUP($C3,prova!$A$1:$D$250,3,FALSE),"")</f>
        <v>38821</v>
      </c>
      <c r="P3">
        <f>IFERROR(VLOOKUP($C3,prova!$A$1:$D$250,4,FALSE),"")</f>
        <v>192</v>
      </c>
    </row>
    <row r="4" spans="1:16" x14ac:dyDescent="0.3">
      <c r="A4" t="s">
        <v>303</v>
      </c>
      <c r="B4" t="s">
        <v>11</v>
      </c>
      <c r="C4" t="s">
        <v>66</v>
      </c>
      <c r="D4" t="s">
        <v>353</v>
      </c>
      <c r="E4" t="s">
        <v>26</v>
      </c>
      <c r="F4" t="s">
        <v>27</v>
      </c>
      <c r="G4" s="4">
        <v>37375</v>
      </c>
      <c r="H4">
        <v>187</v>
      </c>
      <c r="I4">
        <v>2027</v>
      </c>
      <c r="J4" t="s">
        <v>16</v>
      </c>
      <c r="N4" t="str">
        <f>IFERROR(VLOOKUP($C4,prova!$A$1:$D$250,2,FALSE),"")</f>
        <v>https://static.acb.com/media/PRO/00/00/91/84/35/0000918435_lpr_transparent.webp</v>
      </c>
      <c r="O4" s="1">
        <f>IFERROR(VLOOKUP($C4,prova!$A$1:$D$250,3,FALSE),"")</f>
        <v>37375</v>
      </c>
      <c r="P4">
        <f>IFERROR(VLOOKUP($C4,prova!$A$1:$D$250,4,FALSE),"")</f>
        <v>187</v>
      </c>
    </row>
    <row r="5" spans="1:16" x14ac:dyDescent="0.3">
      <c r="A5" t="s">
        <v>303</v>
      </c>
      <c r="B5" t="s">
        <v>23</v>
      </c>
      <c r="C5" t="s">
        <v>67</v>
      </c>
      <c r="D5" t="s">
        <v>579</v>
      </c>
      <c r="E5" t="s">
        <v>49</v>
      </c>
      <c r="F5" t="s">
        <v>50</v>
      </c>
      <c r="G5" s="4">
        <v>35951</v>
      </c>
      <c r="H5">
        <v>194</v>
      </c>
      <c r="I5">
        <v>2027</v>
      </c>
      <c r="J5" t="s">
        <v>292</v>
      </c>
      <c r="N5" t="str">
        <f>IFERROR(VLOOKUP($C5,prova!$A$1:$D$250,2,FALSE),"")</f>
        <v>https://media-cdn.cortextech.io/8c4d5e17-01aa-4f77-99b1-207d7c82d195.png</v>
      </c>
      <c r="O5" s="1">
        <f>IFERROR(VLOOKUP($C5,prova!$A$1:$D$250,3,FALSE),"")</f>
        <v>35951</v>
      </c>
      <c r="P5">
        <f>IFERROR(VLOOKUP($C5,prova!$A$1:$D$250,4,FALSE),"")</f>
        <v>194</v>
      </c>
    </row>
    <row r="6" spans="1:16" x14ac:dyDescent="0.3">
      <c r="A6" t="s">
        <v>303</v>
      </c>
      <c r="B6" t="s">
        <v>23</v>
      </c>
      <c r="C6" t="s">
        <v>68</v>
      </c>
      <c r="D6" t="s">
        <v>354</v>
      </c>
      <c r="E6" t="s">
        <v>14</v>
      </c>
      <c r="F6" t="s">
        <v>50</v>
      </c>
      <c r="G6" s="4">
        <v>36787</v>
      </c>
      <c r="H6">
        <v>198</v>
      </c>
      <c r="I6">
        <v>2027</v>
      </c>
      <c r="J6" t="s">
        <v>16</v>
      </c>
      <c r="N6" t="str">
        <f>IFERROR(VLOOKUP($C6,prova!$A$1:$D$250,2,FALSE),"")</f>
        <v>https://static.acb.com/media/PRO/00/00/83/31/64/0000833164_lpr_transparent.webp</v>
      </c>
      <c r="O6" s="1">
        <f>IFERROR(VLOOKUP($C6,prova!$A$1:$D$250,3,FALSE),"")</f>
        <v>36787</v>
      </c>
      <c r="P6">
        <f>IFERROR(VLOOKUP($C6,prova!$A$1:$D$250,4,FALSE),"")</f>
        <v>198</v>
      </c>
    </row>
    <row r="7" spans="1:16" x14ac:dyDescent="0.3">
      <c r="A7" t="s">
        <v>303</v>
      </c>
      <c r="B7" t="s">
        <v>23</v>
      </c>
      <c r="C7" t="s">
        <v>69</v>
      </c>
      <c r="D7" t="s">
        <v>355</v>
      </c>
      <c r="E7" t="s">
        <v>14</v>
      </c>
      <c r="F7" t="s">
        <v>15</v>
      </c>
      <c r="G7" s="4">
        <v>37318</v>
      </c>
      <c r="H7">
        <v>193</v>
      </c>
      <c r="I7">
        <v>2029</v>
      </c>
      <c r="J7" t="s">
        <v>35</v>
      </c>
      <c r="N7" t="str">
        <f>IFERROR(VLOOKUP($C7,prova!$A$1:$D$250,2,FALSE),"")</f>
        <v>https://static.acb.com/media/PRO/00/00/83/26/60/0000832660_lpr_transparent.webp</v>
      </c>
      <c r="O7" s="1">
        <f>IFERROR(VLOOKUP($C7,prova!$A$1:$D$250,3,FALSE),"")</f>
        <v>37318</v>
      </c>
      <c r="P7">
        <f>IFERROR(VLOOKUP($C7,prova!$A$1:$D$250,4,FALSE),"")</f>
        <v>193</v>
      </c>
    </row>
    <row r="8" spans="1:16" x14ac:dyDescent="0.3">
      <c r="A8" t="s">
        <v>303</v>
      </c>
      <c r="B8" t="s">
        <v>23</v>
      </c>
      <c r="C8" t="s">
        <v>70</v>
      </c>
      <c r="D8" t="s">
        <v>588</v>
      </c>
      <c r="E8" t="s">
        <v>26</v>
      </c>
      <c r="F8" t="s">
        <v>27</v>
      </c>
      <c r="G8" s="4">
        <v>38645</v>
      </c>
      <c r="H8">
        <v>197</v>
      </c>
      <c r="I8">
        <v>2028</v>
      </c>
      <c r="J8" t="s">
        <v>267</v>
      </c>
      <c r="N8" t="str">
        <f>IFERROR(VLOOKUP($C8,prova!$A$1:$D$250,2,FALSE),"")</f>
        <v>https://acb.com/_next/image?url=https%3A%2F%2Fstatic.acb.com%2Fmedia%2FPRO%2F00%2F00%2F56%2F69%2F31%2F0000566931_lpr_transparent.webp&amp;w=1200&amp;q=75</v>
      </c>
      <c r="O8" s="1">
        <f>IFERROR(VLOOKUP($C8,prova!$A$1:$D$250,3,FALSE),"")</f>
        <v>38645</v>
      </c>
      <c r="P8">
        <f>IFERROR(VLOOKUP($C8,prova!$A$1:$D$250,4,FALSE),"")</f>
        <v>197</v>
      </c>
    </row>
    <row r="9" spans="1:16" x14ac:dyDescent="0.3">
      <c r="A9" t="s">
        <v>303</v>
      </c>
      <c r="B9" t="s">
        <v>36</v>
      </c>
      <c r="C9" t="s">
        <v>71</v>
      </c>
      <c r="D9" t="s">
        <v>356</v>
      </c>
      <c r="E9" t="s">
        <v>49</v>
      </c>
      <c r="F9" t="s">
        <v>50</v>
      </c>
      <c r="G9" s="4">
        <v>34612</v>
      </c>
      <c r="H9">
        <v>198</v>
      </c>
      <c r="I9">
        <v>2028</v>
      </c>
      <c r="J9" t="s">
        <v>16</v>
      </c>
      <c r="N9" t="str">
        <f>IFERROR(VLOOKUP($C9,prova!$A$1:$D$250,2,FALSE),"")</f>
        <v>https://static.acb.com/media/PRO/00/00/83/30/45/0000833045_lpr_transparent.webp</v>
      </c>
      <c r="O9" s="1">
        <f>IFERROR(VLOOKUP($C9,prova!$A$1:$D$250,3,FALSE),"")</f>
        <v>34612</v>
      </c>
      <c r="P9">
        <f>IFERROR(VLOOKUP($C9,prova!$A$1:$D$250,4,FALSE),"")</f>
        <v>198</v>
      </c>
    </row>
    <row r="10" spans="1:16" x14ac:dyDescent="0.3">
      <c r="A10" t="s">
        <v>303</v>
      </c>
      <c r="B10" t="s">
        <v>36</v>
      </c>
      <c r="C10" t="s">
        <v>72</v>
      </c>
      <c r="D10" t="s">
        <v>357</v>
      </c>
      <c r="E10" t="s">
        <v>26</v>
      </c>
      <c r="F10" t="s">
        <v>27</v>
      </c>
      <c r="G10" s="4">
        <v>36227</v>
      </c>
      <c r="H10">
        <v>199</v>
      </c>
      <c r="I10">
        <v>2027</v>
      </c>
      <c r="J10" t="s">
        <v>16</v>
      </c>
      <c r="N10" t="str">
        <f>IFERROR(VLOOKUP($C10,prova!$A$1:$D$250,2,FALSE),"")</f>
        <v>https://static.acb.com/media/PRO/00/00/83/30/24/0000833024_lpr_transparent.webp</v>
      </c>
      <c r="O10" s="1">
        <f>IFERROR(VLOOKUP($C10,prova!$A$1:$D$250,3,FALSE),"")</f>
        <v>36227</v>
      </c>
      <c r="P10">
        <f>IFERROR(VLOOKUP($C10,prova!$A$1:$D$250,4,FALSE),"")</f>
        <v>199</v>
      </c>
    </row>
    <row r="11" spans="1:16" x14ac:dyDescent="0.3">
      <c r="A11" t="s">
        <v>303</v>
      </c>
      <c r="B11" t="s">
        <v>44</v>
      </c>
      <c r="C11" t="s">
        <v>73</v>
      </c>
      <c r="D11" t="s">
        <v>580</v>
      </c>
      <c r="E11" t="s">
        <v>14</v>
      </c>
      <c r="F11" t="s">
        <v>50</v>
      </c>
      <c r="G11" s="4">
        <v>35285</v>
      </c>
      <c r="H11">
        <v>206</v>
      </c>
      <c r="I11">
        <v>2028</v>
      </c>
      <c r="J11" t="s">
        <v>35</v>
      </c>
      <c r="N11" t="str">
        <f>IFERROR(VLOOKUP($C11,prova!$A$1:$D$250,2,FALSE),"")</f>
        <v>https://media-cdn.cortextech.io/d5277fb5-a978-453b-bfcb-731c5704609c.png</v>
      </c>
      <c r="O11" s="1">
        <f>IFERROR(VLOOKUP($C11,prova!$A$1:$D$250,3,FALSE),"")</f>
        <v>35285</v>
      </c>
      <c r="P11">
        <f>IFERROR(VLOOKUP($C11,prova!$A$1:$D$250,4,FALSE),"")</f>
        <v>206</v>
      </c>
    </row>
    <row r="12" spans="1:16" x14ac:dyDescent="0.3">
      <c r="A12" t="s">
        <v>303</v>
      </c>
      <c r="B12" t="s">
        <v>44</v>
      </c>
      <c r="C12" t="s">
        <v>74</v>
      </c>
      <c r="D12" t="s">
        <v>513</v>
      </c>
      <c r="E12" t="s">
        <v>78</v>
      </c>
      <c r="F12" t="s">
        <v>50</v>
      </c>
      <c r="G12" s="4">
        <v>37569</v>
      </c>
      <c r="H12">
        <v>211</v>
      </c>
      <c r="I12">
        <v>2027</v>
      </c>
      <c r="J12" t="s">
        <v>35</v>
      </c>
      <c r="N12" t="str">
        <f>IFERROR(VLOOKUP($C12,prova!$A$1:$D$250,2,FALSE),"")</f>
        <v>https://cdn.nba.com/headshots/nba/latest/1040x760/1631243.png</v>
      </c>
      <c r="O12" s="1">
        <f>IFERROR(VLOOKUP($C12,prova!$A$1:$D$250,3,FALSE),"")</f>
        <v>37569</v>
      </c>
      <c r="P12">
        <f>IFERROR(VLOOKUP($C12,prova!$A$1:$D$250,4,FALSE),"")</f>
        <v>211</v>
      </c>
    </row>
    <row r="13" spans="1:16" x14ac:dyDescent="0.3">
      <c r="A13" t="s">
        <v>303</v>
      </c>
      <c r="B13" t="s">
        <v>54</v>
      </c>
      <c r="C13" t="s">
        <v>75</v>
      </c>
      <c r="D13" t="s">
        <v>358</v>
      </c>
      <c r="E13" t="s">
        <v>14</v>
      </c>
      <c r="F13" t="s">
        <v>50</v>
      </c>
      <c r="G13" s="4">
        <v>36068</v>
      </c>
      <c r="H13">
        <v>211</v>
      </c>
      <c r="I13">
        <v>2028</v>
      </c>
      <c r="J13" t="s">
        <v>16</v>
      </c>
      <c r="N13" t="str">
        <f>IFERROR(VLOOKUP($C13,prova!$A$1:$D$250,2,FALSE),"")</f>
        <v>https://static.acb.com/media/PRO/00/00/83/30/95/0000833095_lpr_transparent.webp</v>
      </c>
      <c r="O13" s="1">
        <f>IFERROR(VLOOKUP($C13,prova!$A$1:$D$250,3,FALSE),"")</f>
        <v>36068</v>
      </c>
      <c r="P13">
        <f>IFERROR(VLOOKUP($C13,prova!$A$1:$D$250,4,FALSE),"")</f>
        <v>211</v>
      </c>
    </row>
    <row r="14" spans="1:16" x14ac:dyDescent="0.3">
      <c r="A14" t="s">
        <v>303</v>
      </c>
      <c r="B14" t="s">
        <v>54</v>
      </c>
      <c r="C14" t="s">
        <v>76</v>
      </c>
      <c r="D14" t="s">
        <v>359</v>
      </c>
      <c r="E14" t="s">
        <v>14</v>
      </c>
      <c r="F14" t="s">
        <v>22</v>
      </c>
      <c r="G14" s="4">
        <v>36020</v>
      </c>
      <c r="H14">
        <v>210</v>
      </c>
      <c r="I14">
        <v>2027</v>
      </c>
      <c r="J14" t="s">
        <v>16</v>
      </c>
      <c r="N14" t="str">
        <f>IFERROR(VLOOKUP($C14,prova!$A$1:$D$250,2,FALSE),"")</f>
        <v>https://static.acb.com/media/PRO/00/00/83/31/32/0000833132_lpr_transparent.webp</v>
      </c>
      <c r="O14" s="1">
        <f>IFERROR(VLOOKUP($C14,prova!$A$1:$D$250,3,FALSE),"")</f>
        <v>36020</v>
      </c>
      <c r="P14">
        <f>IFERROR(VLOOKUP($C14,prova!$A$1:$D$250,4,FALSE),"")</f>
        <v>210</v>
      </c>
    </row>
    <row r="15" spans="1:16" x14ac:dyDescent="0.3">
      <c r="A15" t="s">
        <v>303</v>
      </c>
      <c r="B15" t="s">
        <v>54</v>
      </c>
      <c r="C15" t="s">
        <v>77</v>
      </c>
      <c r="D15" t="s">
        <v>360</v>
      </c>
      <c r="E15" t="s">
        <v>26</v>
      </c>
      <c r="F15" t="s">
        <v>27</v>
      </c>
      <c r="G15" s="4">
        <v>35274</v>
      </c>
      <c r="H15">
        <v>211</v>
      </c>
      <c r="I15">
        <v>2028</v>
      </c>
      <c r="J15" t="s">
        <v>16</v>
      </c>
      <c r="N15" t="str">
        <f>IFERROR(VLOOKUP($C15,prova!$A$1:$D$250,2,FALSE),"")</f>
        <v>https://static.acb.com/media/PRO/00/00/83/32/47/0000833247_lpr_transparent.webp</v>
      </c>
      <c r="O15" s="1">
        <f>IFERROR(VLOOKUP($C15,prova!$A$1:$D$250,3,FALSE),"")</f>
        <v>35274</v>
      </c>
      <c r="P15">
        <f>IFERROR(VLOOKUP($C15,prova!$A$1:$D$250,4,FALSE),"")</f>
        <v>211</v>
      </c>
    </row>
    <row r="16" spans="1:16" x14ac:dyDescent="0.3">
      <c r="A16" t="s">
        <v>304</v>
      </c>
      <c r="B16" t="s">
        <v>11</v>
      </c>
      <c r="C16" t="s">
        <v>79</v>
      </c>
      <c r="D16" t="s">
        <v>361</v>
      </c>
      <c r="E16" t="s">
        <v>49</v>
      </c>
      <c r="F16" t="s">
        <v>50</v>
      </c>
      <c r="G16" s="4">
        <v>35615</v>
      </c>
      <c r="H16">
        <v>196</v>
      </c>
      <c r="I16">
        <v>2028</v>
      </c>
      <c r="J16" t="s">
        <v>30</v>
      </c>
      <c r="N16" t="str">
        <f>IFERROR(VLOOKUP($C16,prova!$A$1:$D$250,2,FALSE),"")</f>
        <v>https://static.acb.com/media/PRO/00/00/84/74/17/0000847417_lpr_transparent.webp</v>
      </c>
      <c r="O16" s="1">
        <f>IFERROR(VLOOKUP($C16,prova!$A$1:$D$250,3,FALSE),"")</f>
        <v>35615</v>
      </c>
      <c r="P16">
        <f>IFERROR(VLOOKUP($C16,prova!$A$1:$D$250,4,FALSE),"")</f>
        <v>196</v>
      </c>
    </row>
    <row r="17" spans="1:16" x14ac:dyDescent="0.3">
      <c r="A17" t="s">
        <v>304</v>
      </c>
      <c r="B17" t="s">
        <v>11</v>
      </c>
      <c r="C17" t="s">
        <v>80</v>
      </c>
      <c r="D17" t="s">
        <v>362</v>
      </c>
      <c r="E17" t="s">
        <v>26</v>
      </c>
      <c r="F17" t="s">
        <v>43</v>
      </c>
      <c r="G17" s="4">
        <v>37631</v>
      </c>
      <c r="H17">
        <v>192</v>
      </c>
      <c r="I17">
        <v>2028</v>
      </c>
      <c r="J17" t="s">
        <v>16</v>
      </c>
      <c r="N17" t="str">
        <f>IFERROR(VLOOKUP($C17,prova!$A$1:$D$250,2,FALSE),"")</f>
        <v>https://static.acb.com/media/PRO/00/00/83/36/21/0000833621_lpr_transparent.webp</v>
      </c>
      <c r="O17" s="1">
        <f>IFERROR(VLOOKUP($C17,prova!$A$1:$D$250,3,FALSE),"")</f>
        <v>37631</v>
      </c>
      <c r="P17">
        <f>IFERROR(VLOOKUP($C17,prova!$A$1:$D$250,4,FALSE),"")</f>
        <v>192</v>
      </c>
    </row>
    <row r="18" spans="1:16" x14ac:dyDescent="0.3">
      <c r="A18" t="s">
        <v>304</v>
      </c>
      <c r="B18" t="s">
        <v>11</v>
      </c>
      <c r="C18" t="s">
        <v>81</v>
      </c>
      <c r="D18" t="s">
        <v>542</v>
      </c>
      <c r="E18" t="s">
        <v>49</v>
      </c>
      <c r="F18" t="s">
        <v>50</v>
      </c>
      <c r="G18" s="4">
        <v>36741</v>
      </c>
      <c r="H18">
        <v>193</v>
      </c>
      <c r="I18">
        <v>2028</v>
      </c>
      <c r="J18" t="s">
        <v>35</v>
      </c>
      <c r="N18" t="str">
        <f>IFERROR(VLOOKUP($C18,prova!$A$1:$D$250,2,FALSE),"")</f>
        <v>https://ak-static.cms.nba.com/wp-content/uploads/headshots/gleague/1040x760/1641878.png</v>
      </c>
      <c r="O18" s="1">
        <f>IFERROR(VLOOKUP($C18,prova!$A$1:$D$250,3,FALSE),"")</f>
        <v>36741</v>
      </c>
      <c r="P18">
        <f>IFERROR(VLOOKUP($C18,prova!$A$1:$D$250,4,FALSE),"")</f>
        <v>193</v>
      </c>
    </row>
    <row r="19" spans="1:16" x14ac:dyDescent="0.3">
      <c r="A19" t="s">
        <v>304</v>
      </c>
      <c r="B19" t="s">
        <v>23</v>
      </c>
      <c r="C19" t="s">
        <v>82</v>
      </c>
      <c r="D19" t="s">
        <v>314</v>
      </c>
      <c r="E19" t="s">
        <v>78</v>
      </c>
      <c r="F19" t="s">
        <v>19</v>
      </c>
      <c r="G19" s="4">
        <v>35594</v>
      </c>
      <c r="H19">
        <v>196</v>
      </c>
      <c r="I19">
        <v>2028</v>
      </c>
      <c r="J19" t="s">
        <v>35</v>
      </c>
      <c r="N19" t="str">
        <f>IFERROR(VLOOKUP($C19,prova!$A$1:$D$250,2,FALSE),"")</f>
        <v>https://static.acb.com/media/PRO/00/00/82/67/55/0000826755_lpr_transparent.webp</v>
      </c>
      <c r="O19" s="1">
        <f>IFERROR(VLOOKUP($C19,prova!$A$1:$D$250,3,FALSE),"")</f>
        <v>35594</v>
      </c>
      <c r="P19">
        <f>IFERROR(VLOOKUP($C19,prova!$A$1:$D$250,4,FALSE),"")</f>
        <v>196</v>
      </c>
    </row>
    <row r="20" spans="1:16" x14ac:dyDescent="0.3">
      <c r="A20" t="s">
        <v>304</v>
      </c>
      <c r="B20" t="s">
        <v>23</v>
      </c>
      <c r="C20" t="s">
        <v>83</v>
      </c>
      <c r="D20" t="s">
        <v>315</v>
      </c>
      <c r="E20" t="s">
        <v>49</v>
      </c>
      <c r="F20" t="s">
        <v>268</v>
      </c>
      <c r="G20" s="4">
        <v>36222</v>
      </c>
      <c r="H20">
        <v>179</v>
      </c>
      <c r="I20">
        <v>2028</v>
      </c>
      <c r="J20" t="s">
        <v>16</v>
      </c>
      <c r="N20" t="str">
        <f>IFERROR(VLOOKUP($C20,prova!$A$1:$D$250,2,FALSE),"")</f>
        <v>https://static.acb.com/media/PRO/00/00/83/35/84/0000833584_lpr_transparent.webp</v>
      </c>
      <c r="O20" s="1">
        <f>IFERROR(VLOOKUP($C20,prova!$A$1:$D$250,3,FALSE),"")</f>
        <v>36222</v>
      </c>
      <c r="P20">
        <f>IFERROR(VLOOKUP($C20,prova!$A$1:$D$250,4,FALSE),"")</f>
        <v>179</v>
      </c>
    </row>
    <row r="21" spans="1:16" x14ac:dyDescent="0.3">
      <c r="A21" t="s">
        <v>304</v>
      </c>
      <c r="B21" t="s">
        <v>23</v>
      </c>
      <c r="C21" t="s">
        <v>84</v>
      </c>
      <c r="D21" t="s">
        <v>316</v>
      </c>
      <c r="E21" t="s">
        <v>26</v>
      </c>
      <c r="F21" t="s">
        <v>269</v>
      </c>
      <c r="G21" s="4">
        <v>39768</v>
      </c>
      <c r="H21">
        <v>200.99999999999997</v>
      </c>
      <c r="I21">
        <v>2027</v>
      </c>
      <c r="J21" t="s">
        <v>274</v>
      </c>
      <c r="N21" t="str">
        <f>IFERROR(VLOOKUP($C21,prova!$A$1:$D$250,2,FALSE),"")</f>
        <v>https://static.acb.com/media/PRO/00/00/83/37/25/0000833725_lpr_transparent.webp</v>
      </c>
      <c r="O21" s="1">
        <f>IFERROR(VLOOKUP($C21,prova!$A$1:$D$250,3,FALSE),"")</f>
        <v>39768</v>
      </c>
      <c r="P21">
        <f>IFERROR(VLOOKUP($C21,prova!$A$1:$D$250,4,FALSE),"")</f>
        <v>200.99999999999997</v>
      </c>
    </row>
    <row r="22" spans="1:16" x14ac:dyDescent="0.3">
      <c r="A22" t="s">
        <v>304</v>
      </c>
      <c r="B22" t="s">
        <v>36</v>
      </c>
      <c r="C22" t="s">
        <v>85</v>
      </c>
      <c r="D22" t="s">
        <v>568</v>
      </c>
      <c r="E22" t="s">
        <v>14</v>
      </c>
      <c r="F22" t="s">
        <v>50</v>
      </c>
      <c r="G22" s="4">
        <v>36369</v>
      </c>
      <c r="H22">
        <v>196</v>
      </c>
      <c r="I22">
        <v>2028</v>
      </c>
      <c r="J22" t="s">
        <v>35</v>
      </c>
      <c r="N22" t="str">
        <f>IFERROR(VLOOKUP($C22,prova!$A$1:$D$250,2,FALSE),"")</f>
        <v>https://media-cdn.cortextech.io/dd9bcf27-807d-4de7-8797-5b659b95eb0a.png</v>
      </c>
      <c r="O22" s="1">
        <f>IFERROR(VLOOKUP($C22,prova!$A$1:$D$250,3,FALSE),"")</f>
        <v>36369</v>
      </c>
      <c r="P22">
        <f>IFERROR(VLOOKUP($C22,prova!$A$1:$D$250,4,FALSE),"")</f>
        <v>196</v>
      </c>
    </row>
    <row r="23" spans="1:16" x14ac:dyDescent="0.3">
      <c r="A23" t="s">
        <v>304</v>
      </c>
      <c r="B23" t="s">
        <v>36</v>
      </c>
      <c r="C23" t="s">
        <v>86</v>
      </c>
      <c r="D23" t="s">
        <v>514</v>
      </c>
      <c r="E23" t="s">
        <v>78</v>
      </c>
      <c r="F23" t="s">
        <v>270</v>
      </c>
      <c r="G23" s="4">
        <v>36722</v>
      </c>
      <c r="H23">
        <v>198</v>
      </c>
      <c r="I23">
        <v>2028</v>
      </c>
      <c r="J23" t="s">
        <v>35</v>
      </c>
      <c r="N23" t="str">
        <f>IFERROR(VLOOKUP($C23,prova!$A$1:$D$250,2,FALSE),"")</f>
        <v>https://cdn.nba.com/headshots/nba/latest/1040x760/1630639.png</v>
      </c>
      <c r="O23" s="1">
        <f>IFERROR(VLOOKUP($C23,prova!$A$1:$D$250,3,FALSE),"")</f>
        <v>36722</v>
      </c>
      <c r="P23">
        <f>IFERROR(VLOOKUP($C23,prova!$A$1:$D$250,4,FALSE),"")</f>
        <v>198</v>
      </c>
    </row>
    <row r="24" spans="1:16" x14ac:dyDescent="0.3">
      <c r="A24" t="s">
        <v>304</v>
      </c>
      <c r="B24" t="s">
        <v>44</v>
      </c>
      <c r="C24" t="s">
        <v>87</v>
      </c>
      <c r="D24" t="s">
        <v>317</v>
      </c>
      <c r="E24" t="s">
        <v>26</v>
      </c>
      <c r="F24" t="s">
        <v>271</v>
      </c>
      <c r="G24" s="4">
        <v>35831</v>
      </c>
      <c r="H24">
        <v>202.99999999999997</v>
      </c>
      <c r="I24">
        <v>2028</v>
      </c>
      <c r="J24" t="s">
        <v>16</v>
      </c>
      <c r="N24" t="str">
        <f>IFERROR(VLOOKUP($C24,prova!$A$1:$D$250,2,FALSE),"")</f>
        <v>https://static.acb.com/media/PRO/00/00/83/36/98/0000833698_lpr_transparent.webp</v>
      </c>
      <c r="O24" s="1">
        <f>IFERROR(VLOOKUP($C24,prova!$A$1:$D$250,3,FALSE),"")</f>
        <v>35831</v>
      </c>
      <c r="P24">
        <f>IFERROR(VLOOKUP($C24,prova!$A$1:$D$250,4,FALSE),"")</f>
        <v>202.99999999999997</v>
      </c>
    </row>
    <row r="25" spans="1:16" x14ac:dyDescent="0.3">
      <c r="A25" t="s">
        <v>304</v>
      </c>
      <c r="B25" t="s">
        <v>44</v>
      </c>
      <c r="C25" t="s">
        <v>88</v>
      </c>
      <c r="D25" t="s">
        <v>318</v>
      </c>
      <c r="E25" t="s">
        <v>26</v>
      </c>
      <c r="F25" t="s">
        <v>272</v>
      </c>
      <c r="G25" s="4">
        <v>35812</v>
      </c>
      <c r="H25">
        <v>206</v>
      </c>
      <c r="I25">
        <v>2029</v>
      </c>
      <c r="J25" t="s">
        <v>16</v>
      </c>
      <c r="N25" t="str">
        <f>IFERROR(VLOOKUP($C25,prova!$A$1:$D$250,2,FALSE),"")</f>
        <v>https://static.acb.com/media/PRO/00/00/83/37/43/0000833743_lpr_transparent.webp</v>
      </c>
      <c r="O25" s="1">
        <f>IFERROR(VLOOKUP($C25,prova!$A$1:$D$250,3,FALSE),"")</f>
        <v>35812</v>
      </c>
      <c r="P25">
        <f>IFERROR(VLOOKUP($C25,prova!$A$1:$D$250,4,FALSE),"")</f>
        <v>206</v>
      </c>
    </row>
    <row r="26" spans="1:16" x14ac:dyDescent="0.3">
      <c r="A26" t="s">
        <v>304</v>
      </c>
      <c r="B26" t="s">
        <v>44</v>
      </c>
      <c r="C26" t="s">
        <v>89</v>
      </c>
      <c r="D26" t="s">
        <v>319</v>
      </c>
      <c r="E26" t="s">
        <v>14</v>
      </c>
      <c r="F26" t="s">
        <v>22</v>
      </c>
      <c r="G26" s="4">
        <v>37263</v>
      </c>
      <c r="H26">
        <v>200.99999999999997</v>
      </c>
      <c r="I26">
        <v>2028</v>
      </c>
      <c r="J26" t="s">
        <v>16</v>
      </c>
      <c r="N26" t="str">
        <f>IFERROR(VLOOKUP($C26,prova!$A$1:$D$250,2,FALSE),"")</f>
        <v>https://static.acb.com/media/PRO/00/00/83/34/68/0000833468_lpr_transparent.webp</v>
      </c>
      <c r="O26" s="1">
        <f>IFERROR(VLOOKUP($C26,prova!$A$1:$D$250,3,FALSE),"")</f>
        <v>37263</v>
      </c>
      <c r="P26">
        <f>IFERROR(VLOOKUP($C26,prova!$A$1:$D$250,4,FALSE),"")</f>
        <v>200.99999999999997</v>
      </c>
    </row>
    <row r="27" spans="1:16" x14ac:dyDescent="0.3">
      <c r="A27" t="s">
        <v>304</v>
      </c>
      <c r="B27" t="s">
        <v>54</v>
      </c>
      <c r="C27" t="s">
        <v>90</v>
      </c>
      <c r="D27" t="s">
        <v>320</v>
      </c>
      <c r="E27" t="s">
        <v>26</v>
      </c>
      <c r="F27" t="s">
        <v>273</v>
      </c>
      <c r="G27" s="4">
        <v>37271</v>
      </c>
      <c r="H27">
        <v>215</v>
      </c>
      <c r="I27">
        <v>2028</v>
      </c>
      <c r="J27" t="s">
        <v>16</v>
      </c>
      <c r="N27" t="str">
        <f>IFERROR(VLOOKUP($C27,prova!$A$1:$D$250,2,FALSE),"")</f>
        <v>https://static.acb.com/media/PRO/00/00/83/35/40/0000833540_lpr_transparent.webp</v>
      </c>
      <c r="O27" s="1">
        <f>IFERROR(VLOOKUP($C27,prova!$A$1:$D$250,3,FALSE),"")</f>
        <v>37271</v>
      </c>
      <c r="P27">
        <f>IFERROR(VLOOKUP($C27,prova!$A$1:$D$250,4,FALSE),"")</f>
        <v>215</v>
      </c>
    </row>
    <row r="28" spans="1:16" x14ac:dyDescent="0.3">
      <c r="A28" t="s">
        <v>305</v>
      </c>
      <c r="B28" t="s">
        <v>11</v>
      </c>
      <c r="C28" t="s">
        <v>91</v>
      </c>
      <c r="D28" t="s">
        <v>512</v>
      </c>
      <c r="E28" t="s">
        <v>78</v>
      </c>
      <c r="F28" t="s">
        <v>50</v>
      </c>
      <c r="G28" s="4">
        <v>36186</v>
      </c>
      <c r="H28">
        <v>191</v>
      </c>
      <c r="I28">
        <v>2027</v>
      </c>
      <c r="J28" t="s">
        <v>35</v>
      </c>
      <c r="N28" t="str">
        <f>IFERROR(VLOOKUP($C28,prova!$A$1:$D$250,2,FALSE),"")</f>
        <v>http://assets.fiba.basketball/image/upload/w_2000/f_auto/q_auto/v1731335669/ixnotudf6nlodgl1l3c5.png</v>
      </c>
      <c r="O28" s="1">
        <f>IFERROR(VLOOKUP($C28,prova!$A$1:$D$250,3,FALSE),"")</f>
        <v>36186</v>
      </c>
      <c r="P28">
        <f>IFERROR(VLOOKUP($C28,prova!$A$1:$D$250,4,FALSE),"")</f>
        <v>191</v>
      </c>
    </row>
    <row r="29" spans="1:16" x14ac:dyDescent="0.3">
      <c r="A29" t="s">
        <v>305</v>
      </c>
      <c r="B29" t="s">
        <v>11</v>
      </c>
      <c r="C29" t="s">
        <v>92</v>
      </c>
      <c r="D29" t="s">
        <v>321</v>
      </c>
      <c r="E29" t="s">
        <v>14</v>
      </c>
      <c r="F29" t="s">
        <v>15</v>
      </c>
      <c r="G29" s="4">
        <v>36713</v>
      </c>
      <c r="H29">
        <v>190</v>
      </c>
      <c r="I29">
        <v>2028</v>
      </c>
      <c r="J29" t="s">
        <v>35</v>
      </c>
      <c r="N29" t="str">
        <f>IFERROR(VLOOKUP($C29,prova!$A$1:$D$250,2,FALSE),"")</f>
        <v>https://static.acb.com/media/PRO/00/00/82/96/38/0000829638_lpr_transparent.webp</v>
      </c>
      <c r="O29" s="1">
        <f>IFERROR(VLOOKUP($C29,prova!$A$1:$D$250,3,FALSE),"")</f>
        <v>36713</v>
      </c>
      <c r="P29">
        <f>IFERROR(VLOOKUP($C29,prova!$A$1:$D$250,4,FALSE),"")</f>
        <v>190</v>
      </c>
    </row>
    <row r="30" spans="1:16" x14ac:dyDescent="0.3">
      <c r="A30" t="s">
        <v>305</v>
      </c>
      <c r="B30" t="s">
        <v>11</v>
      </c>
      <c r="C30" t="s">
        <v>93</v>
      </c>
      <c r="D30" t="s">
        <v>322</v>
      </c>
      <c r="E30" t="s">
        <v>78</v>
      </c>
      <c r="F30" t="s">
        <v>50</v>
      </c>
      <c r="G30" s="4">
        <v>36496</v>
      </c>
      <c r="H30">
        <v>183</v>
      </c>
      <c r="I30">
        <v>2027</v>
      </c>
      <c r="J30" t="s">
        <v>30</v>
      </c>
      <c r="N30" t="str">
        <f>IFERROR(VLOOKUP($C30,prova!$A$1:$D$250,2,FALSE),"")</f>
        <v>https://static.acb.com/media/PRO/00/00/83/15/30/0000831530_lpr_transparent.webp</v>
      </c>
      <c r="O30" s="1">
        <f>IFERROR(VLOOKUP($C30,prova!$A$1:$D$250,3,FALSE),"")</f>
        <v>36496</v>
      </c>
      <c r="P30">
        <f>IFERROR(VLOOKUP($C30,prova!$A$1:$D$250,4,FALSE),"")</f>
        <v>183</v>
      </c>
    </row>
    <row r="31" spans="1:16" x14ac:dyDescent="0.3">
      <c r="A31" t="s">
        <v>305</v>
      </c>
      <c r="B31" t="s">
        <v>23</v>
      </c>
      <c r="C31" t="s">
        <v>94</v>
      </c>
      <c r="D31" t="s">
        <v>323</v>
      </c>
      <c r="E31" t="s">
        <v>14</v>
      </c>
      <c r="F31" t="s">
        <v>50</v>
      </c>
      <c r="G31" s="4">
        <v>33598</v>
      </c>
      <c r="H31">
        <v>188</v>
      </c>
      <c r="I31">
        <v>2027</v>
      </c>
      <c r="J31" t="s">
        <v>16</v>
      </c>
      <c r="N31" t="str">
        <f>IFERROR(VLOOKUP($C31,prova!$A$1:$D$250,2,FALSE),"")</f>
        <v>https://static.acb.com/media/PRO/00/00/83/13/37/0000831337_lpr_transparent.webp</v>
      </c>
      <c r="O31" s="1">
        <f>IFERROR(VLOOKUP($C31,prova!$A$1:$D$250,3,FALSE),"")</f>
        <v>33598</v>
      </c>
      <c r="P31">
        <f>IFERROR(VLOOKUP($C31,prova!$A$1:$D$250,4,FALSE),"")</f>
        <v>188</v>
      </c>
    </row>
    <row r="32" spans="1:16" x14ac:dyDescent="0.3">
      <c r="A32" t="s">
        <v>305</v>
      </c>
      <c r="B32" t="s">
        <v>23</v>
      </c>
      <c r="C32" t="s">
        <v>95</v>
      </c>
      <c r="D32" t="s">
        <v>324</v>
      </c>
      <c r="E32" t="s">
        <v>14</v>
      </c>
      <c r="F32" t="s">
        <v>50</v>
      </c>
      <c r="G32" s="4">
        <v>35598</v>
      </c>
      <c r="H32">
        <v>191</v>
      </c>
      <c r="I32">
        <v>2029</v>
      </c>
      <c r="J32" t="s">
        <v>30</v>
      </c>
      <c r="N32" t="str">
        <f>IFERROR(VLOOKUP($C32,prova!$A$1:$D$250,2,FALSE),"")</f>
        <v>https://static.acb.com/media/PRO/00/00/83/14/58/0000831458_lpr_transparent.webp</v>
      </c>
      <c r="O32" s="1">
        <f>IFERROR(VLOOKUP($C32,prova!$A$1:$D$250,3,FALSE),"")</f>
        <v>35598</v>
      </c>
      <c r="P32">
        <f>IFERROR(VLOOKUP($C32,prova!$A$1:$D$250,4,FALSE),"")</f>
        <v>191</v>
      </c>
    </row>
    <row r="33" spans="1:16" x14ac:dyDescent="0.3">
      <c r="A33" t="s">
        <v>305</v>
      </c>
      <c r="B33" t="s">
        <v>36</v>
      </c>
      <c r="C33" t="s">
        <v>96</v>
      </c>
      <c r="D33" t="s">
        <v>325</v>
      </c>
      <c r="E33" t="s">
        <v>26</v>
      </c>
      <c r="F33" t="s">
        <v>275</v>
      </c>
      <c r="G33" s="4">
        <v>36250</v>
      </c>
      <c r="H33">
        <v>200.99999999999997</v>
      </c>
      <c r="I33">
        <v>2027</v>
      </c>
      <c r="J33" t="s">
        <v>16</v>
      </c>
      <c r="N33" t="str">
        <f>IFERROR(VLOOKUP($C33,prova!$A$1:$D$250,2,FALSE),"")</f>
        <v>https://static.acb.com/media/PRO/00/00/83/16/05/0000831605_lpr_transparent.webp</v>
      </c>
      <c r="O33" s="1">
        <f>IFERROR(VLOOKUP($C33,prova!$A$1:$D$250,3,FALSE),"")</f>
        <v>36250</v>
      </c>
      <c r="P33">
        <f>IFERROR(VLOOKUP($C33,prova!$A$1:$D$250,4,FALSE),"")</f>
        <v>200.99999999999997</v>
      </c>
    </row>
    <row r="34" spans="1:16" x14ac:dyDescent="0.3">
      <c r="A34" t="s">
        <v>305</v>
      </c>
      <c r="B34" t="s">
        <v>36</v>
      </c>
      <c r="C34" t="s">
        <v>97</v>
      </c>
      <c r="D34" t="s">
        <v>326</v>
      </c>
      <c r="E34" t="s">
        <v>14</v>
      </c>
      <c r="F34" t="s">
        <v>276</v>
      </c>
      <c r="G34" s="4">
        <v>33282</v>
      </c>
      <c r="H34">
        <v>200.99999999999997</v>
      </c>
      <c r="I34">
        <v>2027</v>
      </c>
      <c r="J34" t="s">
        <v>30</v>
      </c>
      <c r="N34" t="str">
        <f>IFERROR(VLOOKUP($C34,prova!$A$1:$D$250,2,FALSE),"")</f>
        <v>https://static.acb.com/media/PRO/00/00/83/14/15/0000831415_lpr_transparent.webp</v>
      </c>
      <c r="O34" s="1">
        <f>IFERROR(VLOOKUP($C34,prova!$A$1:$D$250,3,FALSE),"")</f>
        <v>33282</v>
      </c>
      <c r="P34">
        <f>IFERROR(VLOOKUP($C34,prova!$A$1:$D$250,4,FALSE),"")</f>
        <v>200.99999999999997</v>
      </c>
    </row>
    <row r="35" spans="1:16" x14ac:dyDescent="0.3">
      <c r="A35" t="s">
        <v>305</v>
      </c>
      <c r="B35" t="s">
        <v>36</v>
      </c>
      <c r="C35" t="s">
        <v>98</v>
      </c>
      <c r="D35" t="s">
        <v>327</v>
      </c>
      <c r="E35" t="s">
        <v>26</v>
      </c>
      <c r="F35" t="s">
        <v>277</v>
      </c>
      <c r="G35" s="4">
        <v>37797</v>
      </c>
      <c r="H35">
        <v>202.99999999999997</v>
      </c>
      <c r="I35">
        <v>2027</v>
      </c>
      <c r="J35" t="s">
        <v>16</v>
      </c>
      <c r="N35" t="str">
        <f>IFERROR(VLOOKUP($C35,prova!$A$1:$D$250,2,FALSE),"")</f>
        <v>https://static.acb.com/media/PRO/00/00/83/16/69/0000831669_lpr_transparent.webp</v>
      </c>
      <c r="O35" s="1">
        <f>IFERROR(VLOOKUP($C35,prova!$A$1:$D$250,3,FALSE),"")</f>
        <v>37797</v>
      </c>
      <c r="P35">
        <f>IFERROR(VLOOKUP($C35,prova!$A$1:$D$250,4,FALSE),"")</f>
        <v>202.99999999999997</v>
      </c>
    </row>
    <row r="36" spans="1:16" x14ac:dyDescent="0.3">
      <c r="A36" t="s">
        <v>305</v>
      </c>
      <c r="B36" t="s">
        <v>44</v>
      </c>
      <c r="C36" t="s">
        <v>99</v>
      </c>
      <c r="D36" t="s">
        <v>328</v>
      </c>
      <c r="E36" t="s">
        <v>49</v>
      </c>
      <c r="F36" t="s">
        <v>50</v>
      </c>
      <c r="G36" s="4">
        <v>35377</v>
      </c>
      <c r="H36">
        <v>200.99999999999997</v>
      </c>
      <c r="I36">
        <v>2027</v>
      </c>
      <c r="J36" t="s">
        <v>16</v>
      </c>
      <c r="N36" t="str">
        <f>IFERROR(VLOOKUP($C36,prova!$A$1:$D$250,2,FALSE),"")</f>
        <v>https://static.acb.com/media/PRO/00/00/77/53/76/0000775376_lpr_transparent.webp</v>
      </c>
      <c r="O36" s="1">
        <f>IFERROR(VLOOKUP($C36,prova!$A$1:$D$250,3,FALSE),"")</f>
        <v>35377</v>
      </c>
      <c r="P36">
        <f>IFERROR(VLOOKUP($C36,prova!$A$1:$D$250,4,FALSE),"")</f>
        <v>200.99999999999997</v>
      </c>
    </row>
    <row r="37" spans="1:16" x14ac:dyDescent="0.3">
      <c r="A37" t="s">
        <v>305</v>
      </c>
      <c r="B37" t="s">
        <v>44</v>
      </c>
      <c r="C37" t="s">
        <v>100</v>
      </c>
      <c r="D37" t="s">
        <v>329</v>
      </c>
      <c r="E37" t="s">
        <v>14</v>
      </c>
      <c r="F37" t="s">
        <v>271</v>
      </c>
      <c r="G37" s="4">
        <v>37131</v>
      </c>
      <c r="H37">
        <v>208</v>
      </c>
      <c r="I37">
        <v>2028</v>
      </c>
      <c r="J37" t="s">
        <v>35</v>
      </c>
      <c r="N37" t="str">
        <f>IFERROR(VLOOKUP($C37,prova!$A$1:$D$250,2,FALSE),"")</f>
        <v>https://static.acb.com/media/PRO/00/00/82/75/08/0000827508_lpr_transparent.webp</v>
      </c>
      <c r="O37" s="1">
        <f>IFERROR(VLOOKUP($C37,prova!$A$1:$D$250,3,FALSE),"")</f>
        <v>37131</v>
      </c>
      <c r="P37">
        <f>IFERROR(VLOOKUP($C37,prova!$A$1:$D$250,4,FALSE),"")</f>
        <v>208</v>
      </c>
    </row>
    <row r="38" spans="1:16" x14ac:dyDescent="0.3">
      <c r="A38" t="s">
        <v>305</v>
      </c>
      <c r="B38" t="s">
        <v>44</v>
      </c>
      <c r="C38" t="s">
        <v>101</v>
      </c>
      <c r="D38" t="s">
        <v>330</v>
      </c>
      <c r="E38" t="s">
        <v>14</v>
      </c>
      <c r="F38" t="s">
        <v>278</v>
      </c>
      <c r="G38" s="4">
        <v>36312</v>
      </c>
      <c r="H38">
        <v>200.99999999999997</v>
      </c>
      <c r="I38">
        <v>2027</v>
      </c>
      <c r="J38" t="s">
        <v>16</v>
      </c>
      <c r="N38" t="str">
        <f>IFERROR(VLOOKUP($C38,prova!$A$1:$D$250,2,FALSE),"")</f>
        <v>https://static.acb.com/media/PRO/00/00/83/16/47/0000831647_lpr_transparent.webp</v>
      </c>
      <c r="O38" s="1">
        <f>IFERROR(VLOOKUP($C38,prova!$A$1:$D$250,3,FALSE),"")</f>
        <v>36312</v>
      </c>
      <c r="P38">
        <f>IFERROR(VLOOKUP($C38,prova!$A$1:$D$250,4,FALSE),"")</f>
        <v>200.99999999999997</v>
      </c>
    </row>
    <row r="39" spans="1:16" x14ac:dyDescent="0.3">
      <c r="A39" t="s">
        <v>305</v>
      </c>
      <c r="B39" t="s">
        <v>44</v>
      </c>
      <c r="C39" t="s">
        <v>102</v>
      </c>
      <c r="D39" t="s">
        <v>331</v>
      </c>
      <c r="E39" t="s">
        <v>26</v>
      </c>
      <c r="F39" t="s">
        <v>27</v>
      </c>
      <c r="G39" s="4">
        <v>37328</v>
      </c>
      <c r="H39">
        <v>200.99999999999997</v>
      </c>
      <c r="I39">
        <v>2028</v>
      </c>
      <c r="J39" t="s">
        <v>16</v>
      </c>
      <c r="N39" t="str">
        <f>IFERROR(VLOOKUP($C39,prova!$A$1:$D$250,2,FALSE),"")</f>
        <v>https://static.acb.com/media/PRO/00/00/83/15/79/0000831579_lpr_transparent.webp</v>
      </c>
      <c r="O39" s="1">
        <f>IFERROR(VLOOKUP($C39,prova!$A$1:$D$250,3,FALSE),"")</f>
        <v>37328</v>
      </c>
      <c r="P39">
        <f>IFERROR(VLOOKUP($C39,prova!$A$1:$D$250,4,FALSE),"")</f>
        <v>200.99999999999997</v>
      </c>
    </row>
    <row r="40" spans="1:16" x14ac:dyDescent="0.3">
      <c r="A40" t="s">
        <v>305</v>
      </c>
      <c r="B40" t="s">
        <v>54</v>
      </c>
      <c r="C40" t="s">
        <v>103</v>
      </c>
      <c r="D40" t="s">
        <v>512</v>
      </c>
      <c r="E40" t="s">
        <v>14</v>
      </c>
      <c r="F40" t="s">
        <v>22</v>
      </c>
      <c r="G40" s="4">
        <v>35662</v>
      </c>
      <c r="H40">
        <v>208</v>
      </c>
      <c r="I40">
        <v>2027</v>
      </c>
      <c r="J40" t="s">
        <v>35</v>
      </c>
      <c r="N40" t="str">
        <f>IFERROR(VLOOKUP($C40,prova!$A$1:$D$250,2,FALSE),"")</f>
        <v>http://assets.fiba.basketball/image/upload/w_2000/f_auto/q_auto/v1731335669/ixnotudf6nlodgl1l3c5.png</v>
      </c>
      <c r="O40" s="1">
        <f>IFERROR(VLOOKUP($C40,prova!$A$1:$D$250,3,FALSE),"")</f>
        <v>35662</v>
      </c>
      <c r="P40">
        <f>IFERROR(VLOOKUP($C40,prova!$A$1:$D$250,4,FALSE),"")</f>
        <v>208</v>
      </c>
    </row>
    <row r="41" spans="1:16" x14ac:dyDescent="0.3">
      <c r="A41" t="s">
        <v>305</v>
      </c>
      <c r="B41" t="s">
        <v>54</v>
      </c>
      <c r="C41" t="s">
        <v>104</v>
      </c>
      <c r="D41" t="s">
        <v>332</v>
      </c>
      <c r="E41" t="s">
        <v>26</v>
      </c>
      <c r="F41" t="s">
        <v>279</v>
      </c>
      <c r="G41" s="4">
        <v>35641</v>
      </c>
      <c r="H41">
        <v>206.99999999999997</v>
      </c>
      <c r="I41">
        <v>2027</v>
      </c>
      <c r="J41" t="s">
        <v>16</v>
      </c>
      <c r="N41" t="str">
        <f>IFERROR(VLOOKUP($C41,prova!$A$1:$D$250,2,FALSE),"")</f>
        <v>https://static.acb.com/media/PRO/00/00/83/13/77/0000831377_lpr_transparent.webp</v>
      </c>
      <c r="O41" s="1">
        <f>IFERROR(VLOOKUP($C41,prova!$A$1:$D$250,3,FALSE),"")</f>
        <v>35641</v>
      </c>
      <c r="P41">
        <f>IFERROR(VLOOKUP($C41,prova!$A$1:$D$250,4,FALSE),"")</f>
        <v>206.99999999999997</v>
      </c>
    </row>
    <row r="42" spans="1:16" x14ac:dyDescent="0.3">
      <c r="A42" t="s">
        <v>305</v>
      </c>
      <c r="B42" t="s">
        <v>54</v>
      </c>
      <c r="C42" t="s">
        <v>105</v>
      </c>
      <c r="D42" t="s">
        <v>333</v>
      </c>
      <c r="E42" t="s">
        <v>26</v>
      </c>
      <c r="F42" t="s">
        <v>273</v>
      </c>
      <c r="G42" s="4">
        <v>34399</v>
      </c>
      <c r="H42">
        <v>211</v>
      </c>
      <c r="I42">
        <v>2027</v>
      </c>
      <c r="J42" t="s">
        <v>16</v>
      </c>
      <c r="N42" t="str">
        <f>IFERROR(VLOOKUP($C42,prova!$A$1:$D$250,2,FALSE),"")</f>
        <v>https://static.acb.com/media/PRO/00/00/83/15/52/0000831552_lpr_transparent.webp</v>
      </c>
      <c r="O42" s="1">
        <f>IFERROR(VLOOKUP($C42,prova!$A$1:$D$250,3,FALSE),"")</f>
        <v>34399</v>
      </c>
      <c r="P42">
        <f>IFERROR(VLOOKUP($C42,prova!$A$1:$D$250,4,FALSE),"")</f>
        <v>211</v>
      </c>
    </row>
    <row r="43" spans="1:16" x14ac:dyDescent="0.3">
      <c r="A43" t="s">
        <v>306</v>
      </c>
      <c r="B43" t="s">
        <v>11</v>
      </c>
      <c r="C43" t="s">
        <v>106</v>
      </c>
      <c r="D43" t="s">
        <v>581</v>
      </c>
      <c r="E43" t="s">
        <v>49</v>
      </c>
      <c r="F43" t="s">
        <v>50</v>
      </c>
      <c r="G43" s="4">
        <v>35715</v>
      </c>
      <c r="H43">
        <v>185</v>
      </c>
      <c r="I43">
        <v>2028</v>
      </c>
      <c r="J43" t="s">
        <v>35</v>
      </c>
      <c r="N43" t="str">
        <f>IFERROR(VLOOKUP($C43,prova!$A$1:$D$250,2,FALSE),"")</f>
        <v>https://media-cdn.cortextech.io/37224ff3-e0d3-48a2-b1a0-fb72065b24f8.png</v>
      </c>
      <c r="O43" s="1">
        <f>IFERROR(VLOOKUP($C43,prova!$A$1:$D$250,3,FALSE),"")</f>
        <v>35715</v>
      </c>
      <c r="P43">
        <f>IFERROR(VLOOKUP($C43,prova!$A$1:$D$250,4,FALSE),"")</f>
        <v>185</v>
      </c>
    </row>
    <row r="44" spans="1:16" x14ac:dyDescent="0.3">
      <c r="A44" t="s">
        <v>306</v>
      </c>
      <c r="B44" t="s">
        <v>11</v>
      </c>
      <c r="C44" t="s">
        <v>107</v>
      </c>
      <c r="D44" t="s">
        <v>571</v>
      </c>
      <c r="E44" t="s">
        <v>14</v>
      </c>
      <c r="F44" t="s">
        <v>50</v>
      </c>
      <c r="G44" s="4">
        <v>35980</v>
      </c>
      <c r="H44">
        <v>182</v>
      </c>
      <c r="I44">
        <v>2028</v>
      </c>
      <c r="J44" t="s">
        <v>35</v>
      </c>
      <c r="N44" t="str">
        <f>IFERROR(VLOOKUP($C44,prova!$A$1:$D$250,2,FALSE),"")</f>
        <v>https://media-cdn.cortextech.io/be7ac987-733b-4c31-b7d0-a679cc9bf90e.png</v>
      </c>
      <c r="O44" s="1">
        <f>IFERROR(VLOOKUP($C44,prova!$A$1:$D$250,3,FALSE),"")</f>
        <v>35980</v>
      </c>
      <c r="P44">
        <f>IFERROR(VLOOKUP($C44,prova!$A$1:$D$250,4,FALSE),"")</f>
        <v>182</v>
      </c>
    </row>
    <row r="45" spans="1:16" x14ac:dyDescent="0.3">
      <c r="A45" t="s">
        <v>306</v>
      </c>
      <c r="B45" t="s">
        <v>11</v>
      </c>
      <c r="C45" t="s">
        <v>108</v>
      </c>
      <c r="D45" t="s">
        <v>334</v>
      </c>
      <c r="E45" t="s">
        <v>26</v>
      </c>
      <c r="F45" t="s">
        <v>27</v>
      </c>
      <c r="G45" s="4">
        <v>38142</v>
      </c>
      <c r="H45">
        <v>191</v>
      </c>
      <c r="I45">
        <v>2027</v>
      </c>
      <c r="J45" t="s">
        <v>16</v>
      </c>
      <c r="N45" t="str">
        <f>IFERROR(VLOOKUP($C45,prova!$A$1:$D$250,2,FALSE),"")</f>
        <v>https://static.acb.com/media/PRO/00/00/82/96/21/0000829621_lpr_transparent.webp</v>
      </c>
      <c r="O45" s="1">
        <f>IFERROR(VLOOKUP($C45,prova!$A$1:$D$250,3,FALSE),"")</f>
        <v>38142</v>
      </c>
      <c r="P45">
        <f>IFERROR(VLOOKUP($C45,prova!$A$1:$D$250,4,FALSE),"")</f>
        <v>191</v>
      </c>
    </row>
    <row r="46" spans="1:16" x14ac:dyDescent="0.3">
      <c r="A46" t="s">
        <v>306</v>
      </c>
      <c r="B46" t="s">
        <v>23</v>
      </c>
      <c r="C46" t="s">
        <v>109</v>
      </c>
      <c r="D46" t="s">
        <v>335</v>
      </c>
      <c r="E46" t="s">
        <v>14</v>
      </c>
      <c r="F46" t="s">
        <v>50</v>
      </c>
      <c r="G46" s="4">
        <v>34145</v>
      </c>
      <c r="H46">
        <v>193</v>
      </c>
      <c r="I46">
        <v>2028</v>
      </c>
      <c r="J46" t="s">
        <v>16</v>
      </c>
      <c r="N46" t="str">
        <f>IFERROR(VLOOKUP($C46,prova!$A$1:$D$250,2,FALSE),"")</f>
        <v>https://static.acb.com/media/PRO/00/00/82/96/61/0000829661_lpr_transparent.webp</v>
      </c>
      <c r="O46" s="1">
        <f>IFERROR(VLOOKUP($C46,prova!$A$1:$D$250,3,FALSE),"")</f>
        <v>34145</v>
      </c>
      <c r="P46">
        <f>IFERROR(VLOOKUP($C46,prova!$A$1:$D$250,4,FALSE),"")</f>
        <v>193</v>
      </c>
    </row>
    <row r="47" spans="1:16" x14ac:dyDescent="0.3">
      <c r="A47" t="s">
        <v>306</v>
      </c>
      <c r="B47" t="s">
        <v>23</v>
      </c>
      <c r="C47" t="s">
        <v>110</v>
      </c>
      <c r="D47" t="s">
        <v>336</v>
      </c>
      <c r="E47" t="s">
        <v>26</v>
      </c>
      <c r="F47" t="s">
        <v>27</v>
      </c>
      <c r="G47" s="4">
        <v>34646</v>
      </c>
      <c r="H47">
        <v>188</v>
      </c>
      <c r="I47">
        <v>2028</v>
      </c>
      <c r="J47" t="s">
        <v>16</v>
      </c>
      <c r="N47" t="str">
        <f>IFERROR(VLOOKUP($C47,prova!$A$1:$D$250,2,FALSE),"")</f>
        <v>https://static.acb.com/media/PRO/00/00/82/95/34/0000829534_lpr_transparent.webp</v>
      </c>
      <c r="O47" s="1">
        <f>IFERROR(VLOOKUP($C47,prova!$A$1:$D$250,3,FALSE),"")</f>
        <v>34646</v>
      </c>
      <c r="P47">
        <f>IFERROR(VLOOKUP($C47,prova!$A$1:$D$250,4,FALSE),"")</f>
        <v>188</v>
      </c>
    </row>
    <row r="48" spans="1:16" x14ac:dyDescent="0.3">
      <c r="A48" t="s">
        <v>306</v>
      </c>
      <c r="B48" t="s">
        <v>23</v>
      </c>
      <c r="C48" t="s">
        <v>111</v>
      </c>
      <c r="D48" t="s">
        <v>337</v>
      </c>
      <c r="E48" t="s">
        <v>26</v>
      </c>
      <c r="F48" t="s">
        <v>282</v>
      </c>
      <c r="G48" s="4">
        <v>37821</v>
      </c>
      <c r="H48">
        <v>198</v>
      </c>
      <c r="I48">
        <v>2029</v>
      </c>
      <c r="J48" t="s">
        <v>35</v>
      </c>
      <c r="N48" t="str">
        <f>IFERROR(VLOOKUP($C48,prova!$A$1:$D$250,2,FALSE),"")</f>
        <v>https://static.acb.com/media/PRO/00/00/82/72/20/0000827220_lpr_transparent.webp</v>
      </c>
      <c r="O48" s="1">
        <f>IFERROR(VLOOKUP($C48,prova!$A$1:$D$250,3,FALSE),"")</f>
        <v>37821</v>
      </c>
      <c r="P48">
        <f>IFERROR(VLOOKUP($C48,prova!$A$1:$D$250,4,FALSE),"")</f>
        <v>198</v>
      </c>
    </row>
    <row r="49" spans="1:16" x14ac:dyDescent="0.3">
      <c r="A49" t="s">
        <v>306</v>
      </c>
      <c r="B49" t="s">
        <v>36</v>
      </c>
      <c r="C49" t="s">
        <v>112</v>
      </c>
      <c r="D49" t="s">
        <v>517</v>
      </c>
      <c r="E49" t="s">
        <v>49</v>
      </c>
      <c r="F49" t="s">
        <v>50</v>
      </c>
      <c r="G49" s="4">
        <v>36226</v>
      </c>
      <c r="H49">
        <v>198</v>
      </c>
      <c r="I49">
        <v>2027</v>
      </c>
      <c r="J49" t="s">
        <v>35</v>
      </c>
      <c r="N49" t="str">
        <f>IFERROR(VLOOKUP($C49,prova!$A$1:$D$250,2,FALSE),"")</f>
        <v>https://cdn.nba.com/headshots/nba/latest/1040x760/1631213.png</v>
      </c>
      <c r="O49" s="1">
        <f>IFERROR(VLOOKUP($C49,prova!$A$1:$D$250,3,FALSE),"")</f>
        <v>36226</v>
      </c>
      <c r="P49">
        <f>IFERROR(VLOOKUP($C49,prova!$A$1:$D$250,4,FALSE),"")</f>
        <v>198</v>
      </c>
    </row>
    <row r="50" spans="1:16" x14ac:dyDescent="0.3">
      <c r="A50" t="s">
        <v>306</v>
      </c>
      <c r="B50" t="s">
        <v>36</v>
      </c>
      <c r="C50" t="s">
        <v>113</v>
      </c>
      <c r="D50" t="s">
        <v>515</v>
      </c>
      <c r="E50" t="s">
        <v>78</v>
      </c>
      <c r="F50" t="s">
        <v>50</v>
      </c>
      <c r="G50" s="4">
        <v>36262</v>
      </c>
      <c r="H50">
        <v>198</v>
      </c>
      <c r="I50">
        <v>2028</v>
      </c>
      <c r="J50" t="s">
        <v>35</v>
      </c>
      <c r="N50" t="str">
        <f>IFERROR(VLOOKUP($C50,prova!$A$1:$D$250,2,FALSE),"")</f>
        <v>https://cdn.nba.com/headshots/nba/latest/1040x760/1630649.png</v>
      </c>
      <c r="O50" s="1">
        <f>IFERROR(VLOOKUP($C50,prova!$A$1:$D$250,3,FALSE),"")</f>
        <v>36262</v>
      </c>
      <c r="P50">
        <f>IFERROR(VLOOKUP($C50,prova!$A$1:$D$250,4,FALSE),"")</f>
        <v>198</v>
      </c>
    </row>
    <row r="51" spans="1:16" x14ac:dyDescent="0.3">
      <c r="A51" t="s">
        <v>306</v>
      </c>
      <c r="B51" t="s">
        <v>36</v>
      </c>
      <c r="C51" t="s">
        <v>114</v>
      </c>
      <c r="D51" t="s">
        <v>338</v>
      </c>
      <c r="E51" t="s">
        <v>26</v>
      </c>
      <c r="F51" t="s">
        <v>27</v>
      </c>
      <c r="G51" s="4">
        <v>36620</v>
      </c>
      <c r="H51">
        <v>202</v>
      </c>
      <c r="I51">
        <v>2030</v>
      </c>
      <c r="J51" t="s">
        <v>30</v>
      </c>
      <c r="N51" t="str">
        <f>IFERROR(VLOOKUP($C51,prova!$A$1:$D$250,2,FALSE),"")</f>
        <v>https://static.acb.com/media/PRO/00/00/82/95/99/0000829599_lpr_transparent.webp</v>
      </c>
      <c r="O51" s="1">
        <f>IFERROR(VLOOKUP($C51,prova!$A$1:$D$250,3,FALSE),"")</f>
        <v>36620</v>
      </c>
      <c r="P51">
        <f>IFERROR(VLOOKUP($C51,prova!$A$1:$D$250,4,FALSE),"")</f>
        <v>202</v>
      </c>
    </row>
    <row r="52" spans="1:16" x14ac:dyDescent="0.3">
      <c r="A52" t="s">
        <v>306</v>
      </c>
      <c r="B52" t="s">
        <v>44</v>
      </c>
      <c r="C52" t="s">
        <v>115</v>
      </c>
      <c r="D52" t="s">
        <v>518</v>
      </c>
      <c r="E52" t="s">
        <v>14</v>
      </c>
      <c r="F52" t="s">
        <v>280</v>
      </c>
      <c r="G52" s="4">
        <v>36938</v>
      </c>
      <c r="H52">
        <v>202.99999999999997</v>
      </c>
      <c r="I52">
        <v>2027</v>
      </c>
      <c r="J52" t="s">
        <v>35</v>
      </c>
      <c r="N52" t="str">
        <f>IFERROR(VLOOKUP($C52,prova!$A$1:$D$250,2,FALSE),"")</f>
        <v>https://cdn.nba.com/headshots/nba/latest/1040x760/1641787.png</v>
      </c>
      <c r="O52" s="1">
        <f>IFERROR(VLOOKUP($C52,prova!$A$1:$D$250,3,FALSE),"")</f>
        <v>36938</v>
      </c>
      <c r="P52">
        <f>IFERROR(VLOOKUP($C52,prova!$A$1:$D$250,4,FALSE),"")</f>
        <v>202.99999999999997</v>
      </c>
    </row>
    <row r="53" spans="1:16" x14ac:dyDescent="0.3">
      <c r="A53" t="s">
        <v>306</v>
      </c>
      <c r="B53" t="s">
        <v>44</v>
      </c>
      <c r="C53" t="s">
        <v>116</v>
      </c>
      <c r="D53" t="s">
        <v>512</v>
      </c>
      <c r="E53" t="s">
        <v>14</v>
      </c>
      <c r="F53" t="s">
        <v>53</v>
      </c>
      <c r="G53" s="4">
        <v>36648</v>
      </c>
      <c r="H53">
        <v>202.99999999999997</v>
      </c>
      <c r="I53">
        <v>2028</v>
      </c>
      <c r="J53" t="s">
        <v>35</v>
      </c>
      <c r="N53" t="str">
        <f>IFERROR(VLOOKUP($C53,prova!$A$1:$D$250,2,FALSE),"")</f>
        <v>http://assets.fiba.basketball/image/upload/w_2000/f_auto/q_auto/v1731335669/ixnotudf6nlodgl1l3c5.png</v>
      </c>
      <c r="O53" s="1">
        <f>IFERROR(VLOOKUP($C53,prova!$A$1:$D$250,3,FALSE),"")</f>
        <v>36648</v>
      </c>
      <c r="P53">
        <f>IFERROR(VLOOKUP($C53,prova!$A$1:$D$250,4,FALSE),"")</f>
        <v>202.99999999999997</v>
      </c>
    </row>
    <row r="54" spans="1:16" x14ac:dyDescent="0.3">
      <c r="A54" t="s">
        <v>306</v>
      </c>
      <c r="B54" t="s">
        <v>54</v>
      </c>
      <c r="C54" t="s">
        <v>117</v>
      </c>
      <c r="D54" t="s">
        <v>582</v>
      </c>
      <c r="E54" t="s">
        <v>14</v>
      </c>
      <c r="F54" t="s">
        <v>50</v>
      </c>
      <c r="G54" s="4">
        <v>35628</v>
      </c>
      <c r="H54">
        <v>206</v>
      </c>
      <c r="I54">
        <v>2028</v>
      </c>
      <c r="J54" t="s">
        <v>35</v>
      </c>
      <c r="N54" t="str">
        <f>IFERROR(VLOOKUP($C54,prova!$A$1:$D$250,2,FALSE),"")</f>
        <v>https://media-cdn.cortextech.io/2d5f84ef-ad28-4415-96b2-685be51d4a2f.png</v>
      </c>
      <c r="O54" s="1">
        <f>IFERROR(VLOOKUP($C54,prova!$A$1:$D$250,3,FALSE),"")</f>
        <v>35628</v>
      </c>
      <c r="P54">
        <f>IFERROR(VLOOKUP($C54,prova!$A$1:$D$250,4,FALSE),"")</f>
        <v>206</v>
      </c>
    </row>
    <row r="55" spans="1:16" x14ac:dyDescent="0.3">
      <c r="A55" t="s">
        <v>306</v>
      </c>
      <c r="B55" t="s">
        <v>54</v>
      </c>
      <c r="C55" t="s">
        <v>118</v>
      </c>
      <c r="D55" t="s">
        <v>339</v>
      </c>
      <c r="E55" t="s">
        <v>26</v>
      </c>
      <c r="F55" t="s">
        <v>281</v>
      </c>
      <c r="G55" s="4">
        <v>36849</v>
      </c>
      <c r="H55">
        <v>216</v>
      </c>
      <c r="I55">
        <v>2028</v>
      </c>
      <c r="J55" t="s">
        <v>35</v>
      </c>
      <c r="N55" t="str">
        <f>IFERROR(VLOOKUP($C55,prova!$A$1:$D$250,2,FALSE),"")</f>
        <v>https://static.acb.com/media/PRO/00/00/82/70/82/0000827082_lpr_transparent.webp</v>
      </c>
      <c r="O55" s="1">
        <f>IFERROR(VLOOKUP($C55,prova!$A$1:$D$250,3,FALSE),"")</f>
        <v>36849</v>
      </c>
      <c r="P55">
        <f>IFERROR(VLOOKUP($C55,prova!$A$1:$D$250,4,FALSE),"")</f>
        <v>216</v>
      </c>
    </row>
    <row r="56" spans="1:16" x14ac:dyDescent="0.3">
      <c r="A56" t="s">
        <v>307</v>
      </c>
      <c r="B56" t="s">
        <v>11</v>
      </c>
      <c r="C56" t="s">
        <v>119</v>
      </c>
      <c r="D56" t="s">
        <v>340</v>
      </c>
      <c r="E56" t="s">
        <v>26</v>
      </c>
      <c r="F56" t="s">
        <v>27</v>
      </c>
      <c r="G56" s="4">
        <v>33167</v>
      </c>
      <c r="H56">
        <v>189</v>
      </c>
      <c r="I56">
        <v>2027</v>
      </c>
      <c r="J56" t="s">
        <v>30</v>
      </c>
      <c r="N56" t="str">
        <f>IFERROR(VLOOKUP($C56,prova!$A$1:$D$250,2,FALSE),"")</f>
        <v>https://static.acb.com/media/PRO/00/00/88/25/39/0000882539_lpr_transparent.webp</v>
      </c>
      <c r="O56" s="1">
        <f>IFERROR(VLOOKUP($C56,prova!$A$1:$D$250,3,FALSE),"")</f>
        <v>33167</v>
      </c>
      <c r="P56">
        <f>IFERROR(VLOOKUP($C56,prova!$A$1:$D$250,4,FALSE),"")</f>
        <v>189</v>
      </c>
    </row>
    <row r="57" spans="1:16" x14ac:dyDescent="0.3">
      <c r="A57" t="s">
        <v>307</v>
      </c>
      <c r="B57" t="s">
        <v>11</v>
      </c>
      <c r="C57" t="s">
        <v>120</v>
      </c>
      <c r="D57" t="s">
        <v>341</v>
      </c>
      <c r="E57" t="s">
        <v>26</v>
      </c>
      <c r="F57" t="s">
        <v>277</v>
      </c>
      <c r="G57" s="4">
        <v>35146</v>
      </c>
      <c r="H57">
        <v>189</v>
      </c>
      <c r="I57">
        <v>2027</v>
      </c>
      <c r="J57" t="s">
        <v>16</v>
      </c>
      <c r="N57" t="str">
        <f>IFERROR(VLOOKUP($C57,prova!$A$1:$D$250,2,FALSE),"")</f>
        <v>https://static.acb.com/media/PRO/00/00/82/92/72/0000829272_lpr_transparent.webp</v>
      </c>
      <c r="O57" s="1">
        <f>IFERROR(VLOOKUP($C57,prova!$A$1:$D$250,3,FALSE),"")</f>
        <v>35146</v>
      </c>
      <c r="P57">
        <f>IFERROR(VLOOKUP($C57,prova!$A$1:$D$250,4,FALSE),"")</f>
        <v>189</v>
      </c>
    </row>
    <row r="58" spans="1:16" x14ac:dyDescent="0.3">
      <c r="A58" t="s">
        <v>307</v>
      </c>
      <c r="B58" t="s">
        <v>23</v>
      </c>
      <c r="C58" t="s">
        <v>121</v>
      </c>
      <c r="D58" t="s">
        <v>583</v>
      </c>
      <c r="E58" t="s">
        <v>49</v>
      </c>
      <c r="F58" t="s">
        <v>50</v>
      </c>
      <c r="G58" s="4">
        <v>36872</v>
      </c>
      <c r="H58">
        <v>188</v>
      </c>
      <c r="I58">
        <v>2027</v>
      </c>
      <c r="J58" t="s">
        <v>35</v>
      </c>
      <c r="N58" t="str">
        <f>IFERROR(VLOOKUP($C58,prova!$A$1:$D$250,2,FALSE),"")</f>
        <v>https://media-cdn.cortextech.io/b2638a60-244f-4304-9294-16a4b3ecd667.png</v>
      </c>
      <c r="O58" s="1">
        <f>IFERROR(VLOOKUP($C58,prova!$A$1:$D$250,3,FALSE),"")</f>
        <v>36872</v>
      </c>
      <c r="P58">
        <f>IFERROR(VLOOKUP($C58,prova!$A$1:$D$250,4,FALSE),"")</f>
        <v>188</v>
      </c>
    </row>
    <row r="59" spans="1:16" x14ac:dyDescent="0.3">
      <c r="A59" t="s">
        <v>307</v>
      </c>
      <c r="B59" t="s">
        <v>23</v>
      </c>
      <c r="C59" t="s">
        <v>122</v>
      </c>
      <c r="D59" t="s">
        <v>342</v>
      </c>
      <c r="E59" t="s">
        <v>14</v>
      </c>
      <c r="F59" t="s">
        <v>15</v>
      </c>
      <c r="G59" s="4">
        <v>32904</v>
      </c>
      <c r="H59">
        <v>190</v>
      </c>
      <c r="I59">
        <v>2029</v>
      </c>
      <c r="J59" t="s">
        <v>35</v>
      </c>
      <c r="N59" t="str">
        <f>IFERROR(VLOOKUP($C59,prova!$A$1:$D$250,2,FALSE),"")</f>
        <v>https://static.acb.com/media/PRO/00/00/82/97/47/0000829747_lpr_transparent.webp</v>
      </c>
      <c r="O59" s="1">
        <f>IFERROR(VLOOKUP($C59,prova!$A$1:$D$250,3,FALSE),"")</f>
        <v>32904</v>
      </c>
      <c r="P59">
        <f>IFERROR(VLOOKUP($C59,prova!$A$1:$D$250,4,FALSE),"")</f>
        <v>190</v>
      </c>
    </row>
    <row r="60" spans="1:16" x14ac:dyDescent="0.3">
      <c r="A60" t="s">
        <v>307</v>
      </c>
      <c r="B60" t="s">
        <v>23</v>
      </c>
      <c r="C60" t="s">
        <v>123</v>
      </c>
      <c r="D60" t="s">
        <v>343</v>
      </c>
      <c r="E60" t="s">
        <v>26</v>
      </c>
      <c r="F60" t="s">
        <v>27</v>
      </c>
      <c r="G60" s="4">
        <v>38027</v>
      </c>
      <c r="H60">
        <v>196</v>
      </c>
      <c r="I60">
        <v>2028</v>
      </c>
      <c r="J60" t="s">
        <v>35</v>
      </c>
      <c r="N60" t="str">
        <f>IFERROR(VLOOKUP($C60,prova!$A$1:$D$250,2,FALSE),"")</f>
        <v>https://static.acb.com/media/PRO/00/00/83/29/64/0000832964_lpr_transparent.webp</v>
      </c>
      <c r="O60" s="1">
        <f>IFERROR(VLOOKUP($C60,prova!$A$1:$D$250,3,FALSE),"")</f>
        <v>38027</v>
      </c>
      <c r="P60">
        <f>IFERROR(VLOOKUP($C60,prova!$A$1:$D$250,4,FALSE),"")</f>
        <v>196</v>
      </c>
    </row>
    <row r="61" spans="1:16" x14ac:dyDescent="0.3">
      <c r="A61" t="s">
        <v>307</v>
      </c>
      <c r="B61" t="s">
        <v>36</v>
      </c>
      <c r="C61" t="s">
        <v>124</v>
      </c>
      <c r="D61" t="s">
        <v>344</v>
      </c>
      <c r="E61" t="s">
        <v>26</v>
      </c>
      <c r="F61" t="s">
        <v>283</v>
      </c>
      <c r="G61" s="4">
        <v>37545</v>
      </c>
      <c r="H61">
        <v>202</v>
      </c>
      <c r="I61">
        <v>2027</v>
      </c>
      <c r="J61" t="s">
        <v>292</v>
      </c>
      <c r="N61" t="str">
        <f>IFERROR(VLOOKUP($C61,prova!$A$1:$D$250,2,FALSE),"")</f>
        <v>https://static.acb.com/media/PRO/00/00/88/26/07/0000882607_lpr_transparent.webp</v>
      </c>
      <c r="O61" s="1">
        <f>IFERROR(VLOOKUP($C61,prova!$A$1:$D$250,3,FALSE),"")</f>
        <v>37545</v>
      </c>
      <c r="P61">
        <f>IFERROR(VLOOKUP($C61,prova!$A$1:$D$250,4,FALSE),"")</f>
        <v>202</v>
      </c>
    </row>
    <row r="62" spans="1:16" x14ac:dyDescent="0.3">
      <c r="A62" t="s">
        <v>307</v>
      </c>
      <c r="B62" t="s">
        <v>36</v>
      </c>
      <c r="C62" t="s">
        <v>125</v>
      </c>
      <c r="D62" t="s">
        <v>345</v>
      </c>
      <c r="E62" t="s">
        <v>26</v>
      </c>
      <c r="F62" t="s">
        <v>27</v>
      </c>
      <c r="G62" s="4">
        <v>34320</v>
      </c>
      <c r="H62">
        <v>202</v>
      </c>
      <c r="I62">
        <v>2028</v>
      </c>
      <c r="J62" t="s">
        <v>35</v>
      </c>
      <c r="N62" t="str">
        <f>IFERROR(VLOOKUP($C62,prova!$A$1:$D$250,2,FALSE),"")</f>
        <v>https://static.acb.com/media/PRO/00/00/82/72/49/0000827249_lpr_transparent.webp</v>
      </c>
      <c r="O62" s="1">
        <f>IFERROR(VLOOKUP($C62,prova!$A$1:$D$250,3,FALSE),"")</f>
        <v>34320</v>
      </c>
      <c r="P62">
        <f>IFERROR(VLOOKUP($C62,prova!$A$1:$D$250,4,FALSE),"")</f>
        <v>202</v>
      </c>
    </row>
    <row r="63" spans="1:16" x14ac:dyDescent="0.3">
      <c r="A63" t="s">
        <v>307</v>
      </c>
      <c r="B63" t="s">
        <v>44</v>
      </c>
      <c r="C63" t="s">
        <v>126</v>
      </c>
      <c r="D63" t="s">
        <v>512</v>
      </c>
      <c r="E63" t="s">
        <v>14</v>
      </c>
      <c r="F63" t="s">
        <v>50</v>
      </c>
      <c r="G63" s="4">
        <v>34932</v>
      </c>
      <c r="H63">
        <v>208</v>
      </c>
      <c r="I63">
        <v>2027</v>
      </c>
      <c r="J63" t="s">
        <v>35</v>
      </c>
      <c r="N63" t="str">
        <f>IFERROR(VLOOKUP($C63,prova!$A$1:$D$250,2,FALSE),"")</f>
        <v>http://assets.fiba.basketball/image/upload/w_2000/f_auto/q_auto/v1731335669/ixnotudf6nlodgl1l3c5.png</v>
      </c>
      <c r="O63" s="1">
        <f>IFERROR(VLOOKUP($C63,prova!$A$1:$D$250,3,FALSE),"")</f>
        <v>34932</v>
      </c>
      <c r="P63">
        <f>IFERROR(VLOOKUP($C63,prova!$A$1:$D$250,4,FALSE),"")</f>
        <v>208</v>
      </c>
    </row>
    <row r="64" spans="1:16" x14ac:dyDescent="0.3">
      <c r="A64" t="s">
        <v>307</v>
      </c>
      <c r="B64" t="s">
        <v>44</v>
      </c>
      <c r="C64" t="s">
        <v>127</v>
      </c>
      <c r="D64" t="s">
        <v>346</v>
      </c>
      <c r="E64" t="s">
        <v>14</v>
      </c>
      <c r="F64" t="s">
        <v>284</v>
      </c>
      <c r="G64" s="4">
        <v>34893</v>
      </c>
      <c r="H64">
        <v>204.99999999999997</v>
      </c>
      <c r="I64">
        <v>2028</v>
      </c>
      <c r="J64" t="s">
        <v>35</v>
      </c>
      <c r="N64" t="str">
        <f>IFERROR(VLOOKUP($C64,prova!$A$1:$D$250,2,FALSE),"")</f>
        <v>https://static.acb.com/media/PRO/00/00/82/68/47/0000826847_lpr_transparent.webp</v>
      </c>
      <c r="O64" s="1">
        <f>IFERROR(VLOOKUP($C64,prova!$A$1:$D$250,3,FALSE),"")</f>
        <v>34893</v>
      </c>
      <c r="P64">
        <f>IFERROR(VLOOKUP($C64,prova!$A$1:$D$250,4,FALSE),"")</f>
        <v>204.99999999999997</v>
      </c>
    </row>
    <row r="65" spans="1:16" x14ac:dyDescent="0.3">
      <c r="A65" t="s">
        <v>307</v>
      </c>
      <c r="B65" t="s">
        <v>54</v>
      </c>
      <c r="C65" t="s">
        <v>128</v>
      </c>
      <c r="D65" t="s">
        <v>512</v>
      </c>
      <c r="E65" t="s">
        <v>14</v>
      </c>
      <c r="F65" t="s">
        <v>285</v>
      </c>
      <c r="G65" s="4">
        <v>37714</v>
      </c>
      <c r="H65">
        <v>212</v>
      </c>
      <c r="I65" s="2" t="s">
        <v>34</v>
      </c>
      <c r="J65" t="s">
        <v>35</v>
      </c>
      <c r="N65" t="str">
        <f>IFERROR(VLOOKUP($C65,prova!$A$1:$D$250,2,FALSE),"")</f>
        <v>http://assets.fiba.basketball/image/upload/w_2000/f_auto/q_auto/v1731335669/ixnotudf6nlodgl1l3c5.png</v>
      </c>
      <c r="O65" s="1">
        <f>IFERROR(VLOOKUP($C65,prova!$A$1:$D$250,3,FALSE),"")</f>
        <v>37714</v>
      </c>
      <c r="P65">
        <f>IFERROR(VLOOKUP($C65,prova!$A$1:$D$250,4,FALSE),"")</f>
        <v>212</v>
      </c>
    </row>
    <row r="66" spans="1:16" x14ac:dyDescent="0.3">
      <c r="A66" t="s">
        <v>307</v>
      </c>
      <c r="B66" t="s">
        <v>54</v>
      </c>
      <c r="C66" t="s">
        <v>129</v>
      </c>
      <c r="D66" t="s">
        <v>347</v>
      </c>
      <c r="E66" t="s">
        <v>14</v>
      </c>
      <c r="F66" t="s">
        <v>278</v>
      </c>
      <c r="G66" s="4">
        <v>31825</v>
      </c>
      <c r="H66">
        <v>217</v>
      </c>
      <c r="I66">
        <v>2027</v>
      </c>
      <c r="J66" t="s">
        <v>16</v>
      </c>
      <c r="N66" t="str">
        <f>IFERROR(VLOOKUP($C66,prova!$A$1:$D$250,2,FALSE),"")</f>
        <v>https://static.acb.com/media/PRO/00/00/88/22/39/0000882239_lpr_transparent.webp</v>
      </c>
      <c r="O66" s="1">
        <f>IFERROR(VLOOKUP($C66,prova!$A$1:$D$250,3,FALSE),"")</f>
        <v>31825</v>
      </c>
      <c r="P66">
        <f>IFERROR(VLOOKUP($C66,prova!$A$1:$D$250,4,FALSE),"")</f>
        <v>217</v>
      </c>
    </row>
    <row r="67" spans="1:16" x14ac:dyDescent="0.3">
      <c r="A67" t="s">
        <v>307</v>
      </c>
      <c r="B67" t="s">
        <v>54</v>
      </c>
      <c r="C67" t="s">
        <v>130</v>
      </c>
      <c r="D67" t="s">
        <v>348</v>
      </c>
      <c r="E67" t="s">
        <v>14</v>
      </c>
      <c r="F67" t="s">
        <v>277</v>
      </c>
      <c r="G67" s="4">
        <v>35726</v>
      </c>
      <c r="H67">
        <v>209</v>
      </c>
      <c r="I67">
        <v>2027</v>
      </c>
      <c r="J67" t="s">
        <v>16</v>
      </c>
      <c r="N67" t="str">
        <f>IFERROR(VLOOKUP($C67,prova!$A$1:$D$250,2,FALSE),"")</f>
        <v>https://static.acb.com/media/PRO/00/00/88/25/79/0000882579_lpr_transparent.webp</v>
      </c>
      <c r="O67" s="1">
        <f>IFERROR(VLOOKUP($C67,prova!$A$1:$D$250,3,FALSE),"")</f>
        <v>35726</v>
      </c>
      <c r="P67">
        <f>IFERROR(VLOOKUP($C67,prova!$A$1:$D$250,4,FALSE),"")</f>
        <v>209</v>
      </c>
    </row>
    <row r="68" spans="1:16" x14ac:dyDescent="0.3">
      <c r="A68" t="s">
        <v>308</v>
      </c>
      <c r="B68" t="s">
        <v>11</v>
      </c>
      <c r="C68" t="s">
        <v>131</v>
      </c>
      <c r="D68" t="s">
        <v>349</v>
      </c>
      <c r="E68" t="s">
        <v>14</v>
      </c>
      <c r="F68" t="s">
        <v>286</v>
      </c>
      <c r="G68" s="4">
        <v>35577</v>
      </c>
      <c r="H68">
        <v>188</v>
      </c>
      <c r="I68">
        <v>2029</v>
      </c>
      <c r="J68" t="s">
        <v>30</v>
      </c>
      <c r="N68" t="str">
        <f>IFERROR(VLOOKUP($C68,prova!$A$1:$D$250,2,FALSE),"")</f>
        <v>https://static.acb.com/media/PRO/00/00/83/57/75/0000835775_lpr_transparent.webp</v>
      </c>
      <c r="O68" s="1">
        <f>IFERROR(VLOOKUP($C68,prova!$A$1:$D$250,3,FALSE),"")</f>
        <v>35577</v>
      </c>
      <c r="P68">
        <f>IFERROR(VLOOKUP($C68,prova!$A$1:$D$250,4,FALSE),"")</f>
        <v>188</v>
      </c>
    </row>
    <row r="69" spans="1:16" x14ac:dyDescent="0.3">
      <c r="A69" t="s">
        <v>308</v>
      </c>
      <c r="B69" t="s">
        <v>11</v>
      </c>
      <c r="C69" t="s">
        <v>132</v>
      </c>
      <c r="D69" t="s">
        <v>512</v>
      </c>
      <c r="E69" t="s">
        <v>26</v>
      </c>
      <c r="F69" t="s">
        <v>287</v>
      </c>
      <c r="G69" s="4">
        <v>36707</v>
      </c>
      <c r="H69">
        <v>190</v>
      </c>
      <c r="I69">
        <v>2028</v>
      </c>
      <c r="J69" t="s">
        <v>35</v>
      </c>
      <c r="N69" t="str">
        <f>IFERROR(VLOOKUP($C69,prova!$A$1:$D$250,2,FALSE),"")</f>
        <v>http://assets.fiba.basketball/image/upload/w_2000/f_auto/q_auto/v1731335669/ixnotudf6nlodgl1l3c5.png</v>
      </c>
      <c r="O69" s="1">
        <f>IFERROR(VLOOKUP($C69,prova!$A$1:$D$250,3,FALSE),"")</f>
        <v>36707</v>
      </c>
      <c r="P69">
        <f>IFERROR(VLOOKUP($C69,prova!$A$1:$D$250,4,FALSE),"")</f>
        <v>190</v>
      </c>
    </row>
    <row r="70" spans="1:16" x14ac:dyDescent="0.3">
      <c r="A70" t="s">
        <v>308</v>
      </c>
      <c r="B70" t="s">
        <v>11</v>
      </c>
      <c r="C70" t="s">
        <v>133</v>
      </c>
      <c r="D70" t="s">
        <v>520</v>
      </c>
      <c r="E70" t="s">
        <v>26</v>
      </c>
      <c r="F70" t="s">
        <v>269</v>
      </c>
      <c r="G70" s="4">
        <v>37439</v>
      </c>
      <c r="H70">
        <v>185</v>
      </c>
      <c r="I70">
        <v>2028</v>
      </c>
      <c r="J70" t="s">
        <v>35</v>
      </c>
      <c r="N70" t="str">
        <f>IFERROR(VLOOKUP($C70,prova!$A$1:$D$250,2,FALSE),"")</f>
        <v>https://imagenes.feb.es/Foto.aspx?c=2822575</v>
      </c>
      <c r="O70" s="1">
        <f>IFERROR(VLOOKUP($C70,prova!$A$1:$D$250,3,FALSE),"")</f>
        <v>37439</v>
      </c>
      <c r="P70">
        <f>IFERROR(VLOOKUP($C70,prova!$A$1:$D$250,4,FALSE),"")</f>
        <v>185</v>
      </c>
    </row>
    <row r="71" spans="1:16" x14ac:dyDescent="0.3">
      <c r="A71" t="s">
        <v>308</v>
      </c>
      <c r="B71" t="s">
        <v>23</v>
      </c>
      <c r="C71" t="s">
        <v>134</v>
      </c>
      <c r="D71" t="s">
        <v>512</v>
      </c>
      <c r="E71" t="s">
        <v>49</v>
      </c>
      <c r="F71" t="s">
        <v>50</v>
      </c>
      <c r="G71" s="4">
        <v>36037</v>
      </c>
      <c r="H71">
        <v>190</v>
      </c>
      <c r="I71">
        <v>2027</v>
      </c>
      <c r="J71" t="s">
        <v>35</v>
      </c>
      <c r="N71" t="str">
        <f>IFERROR(VLOOKUP($C71,prova!$A$1:$D$250,2,FALSE),"")</f>
        <v>http://assets.fiba.basketball/image/upload/w_2000/f_auto/q_auto/v1731335669/ixnotudf6nlodgl1l3c5.png</v>
      </c>
      <c r="O71" s="1">
        <f>IFERROR(VLOOKUP($C71,prova!$A$1:$D$250,3,FALSE),"")</f>
        <v>36037</v>
      </c>
      <c r="P71">
        <f>IFERROR(VLOOKUP($C71,prova!$A$1:$D$250,4,FALSE),"")</f>
        <v>190</v>
      </c>
    </row>
    <row r="72" spans="1:16" x14ac:dyDescent="0.3">
      <c r="A72" t="s">
        <v>308</v>
      </c>
      <c r="B72" t="s">
        <v>23</v>
      </c>
      <c r="C72" t="s">
        <v>135</v>
      </c>
      <c r="D72" t="s">
        <v>350</v>
      </c>
      <c r="E72" t="s">
        <v>14</v>
      </c>
      <c r="F72" t="s">
        <v>272</v>
      </c>
      <c r="G72" s="4">
        <v>35365</v>
      </c>
      <c r="H72">
        <v>194</v>
      </c>
      <c r="I72">
        <v>2028</v>
      </c>
      <c r="J72" t="s">
        <v>30</v>
      </c>
      <c r="N72" t="str">
        <f>IFERROR(VLOOKUP($C72,prova!$A$1:$D$250,2,FALSE),"")</f>
        <v>https://static.acb.com/media/PRO/00/00/83/58/50/0000835850_lpr_transparent.webp</v>
      </c>
      <c r="O72" s="1">
        <f>IFERROR(VLOOKUP($C72,prova!$A$1:$D$250,3,FALSE),"")</f>
        <v>35365</v>
      </c>
      <c r="P72">
        <f>IFERROR(VLOOKUP($C72,prova!$A$1:$D$250,4,FALSE),"")</f>
        <v>194</v>
      </c>
    </row>
    <row r="73" spans="1:16" x14ac:dyDescent="0.3">
      <c r="A73" t="s">
        <v>308</v>
      </c>
      <c r="B73" t="s">
        <v>36</v>
      </c>
      <c r="C73" t="s">
        <v>136</v>
      </c>
      <c r="D73" t="s">
        <v>351</v>
      </c>
      <c r="E73" t="s">
        <v>49</v>
      </c>
      <c r="F73" t="s">
        <v>50</v>
      </c>
      <c r="G73" s="4">
        <v>34072</v>
      </c>
      <c r="H73">
        <v>198</v>
      </c>
      <c r="I73">
        <v>2028</v>
      </c>
      <c r="J73" t="s">
        <v>30</v>
      </c>
      <c r="N73" t="str">
        <f>IFERROR(VLOOKUP($C73,prova!$A$1:$D$250,2,FALSE),"")</f>
        <v>https://static.acb.com/media/PRO/00/00/83/57/43/0000835743_lpr_transparent.webp</v>
      </c>
      <c r="O73" s="1">
        <f>IFERROR(VLOOKUP($C73,prova!$A$1:$D$250,3,FALSE),"")</f>
        <v>34072</v>
      </c>
      <c r="P73">
        <f>IFERROR(VLOOKUP($C73,prova!$A$1:$D$250,4,FALSE),"")</f>
        <v>198</v>
      </c>
    </row>
    <row r="74" spans="1:16" x14ac:dyDescent="0.3">
      <c r="A74" t="s">
        <v>308</v>
      </c>
      <c r="B74" t="s">
        <v>36</v>
      </c>
      <c r="C74" t="s">
        <v>137</v>
      </c>
      <c r="D74" t="s">
        <v>352</v>
      </c>
      <c r="E74" t="s">
        <v>26</v>
      </c>
      <c r="F74" t="s">
        <v>27</v>
      </c>
      <c r="G74" s="4">
        <v>35865</v>
      </c>
      <c r="H74">
        <v>194</v>
      </c>
      <c r="I74">
        <v>2029</v>
      </c>
      <c r="J74" t="s">
        <v>30</v>
      </c>
      <c r="N74" t="str">
        <f>IFERROR(VLOOKUP($C74,prova!$A$1:$D$250,2,FALSE),"")</f>
        <v>https://static.acb.com/media/PRO/00/00/83/56/64/0000835664_lpr_transparent.webp</v>
      </c>
      <c r="O74" s="1">
        <f>IFERROR(VLOOKUP($C74,prova!$A$1:$D$250,3,FALSE),"")</f>
        <v>35865</v>
      </c>
      <c r="P74">
        <f>IFERROR(VLOOKUP($C74,prova!$A$1:$D$250,4,FALSE),"")</f>
        <v>194</v>
      </c>
    </row>
    <row r="75" spans="1:16" x14ac:dyDescent="0.3">
      <c r="A75" t="s">
        <v>308</v>
      </c>
      <c r="B75" t="s">
        <v>36</v>
      </c>
      <c r="C75" t="s">
        <v>138</v>
      </c>
      <c r="D75" t="s">
        <v>521</v>
      </c>
      <c r="E75" t="s">
        <v>26</v>
      </c>
      <c r="F75" t="s">
        <v>27</v>
      </c>
      <c r="G75" s="4">
        <v>37357</v>
      </c>
      <c r="H75">
        <v>196</v>
      </c>
      <c r="I75">
        <v>2028</v>
      </c>
      <c r="J75" t="s">
        <v>35</v>
      </c>
      <c r="N75" t="str">
        <f>IFERROR(VLOOKUP($C75,prova!$A$1:$D$250,2,FALSE),"")</f>
        <v>https://imagenes.feb.es/Foto.aspx?c=2082685</v>
      </c>
      <c r="O75" s="1">
        <f>IFERROR(VLOOKUP($C75,prova!$A$1:$D$250,3,FALSE),"")</f>
        <v>37357</v>
      </c>
      <c r="P75">
        <f>IFERROR(VLOOKUP($C75,prova!$A$1:$D$250,4,FALSE),"")</f>
        <v>196</v>
      </c>
    </row>
    <row r="76" spans="1:16" x14ac:dyDescent="0.3">
      <c r="A76" t="s">
        <v>308</v>
      </c>
      <c r="B76" t="s">
        <v>44</v>
      </c>
      <c r="C76" t="s">
        <v>139</v>
      </c>
      <c r="D76" t="s">
        <v>433</v>
      </c>
      <c r="E76" t="s">
        <v>14</v>
      </c>
      <c r="F76" t="s">
        <v>269</v>
      </c>
      <c r="G76" s="4">
        <v>34768</v>
      </c>
      <c r="H76">
        <v>206</v>
      </c>
      <c r="I76">
        <v>2028</v>
      </c>
      <c r="J76" t="s">
        <v>30</v>
      </c>
      <c r="N76" t="str">
        <f>IFERROR(VLOOKUP($C76,prova!$A$1:$D$250,2,FALSE),"")</f>
        <v>https://static.acb.com/media/PRO/00/00/83/58/73/0000835873_lpr_transparent.webp</v>
      </c>
      <c r="O76" s="1">
        <f>IFERROR(VLOOKUP($C76,prova!$A$1:$D$250,3,FALSE),"")</f>
        <v>34768</v>
      </c>
      <c r="P76">
        <f>IFERROR(VLOOKUP($C76,prova!$A$1:$D$250,4,FALSE),"")</f>
        <v>206</v>
      </c>
    </row>
    <row r="77" spans="1:16" x14ac:dyDescent="0.3">
      <c r="A77" t="s">
        <v>308</v>
      </c>
      <c r="B77" t="s">
        <v>44</v>
      </c>
      <c r="C77" t="s">
        <v>140</v>
      </c>
      <c r="D77" t="s">
        <v>434</v>
      </c>
      <c r="E77" t="s">
        <v>14</v>
      </c>
      <c r="F77" t="s">
        <v>50</v>
      </c>
      <c r="G77" s="4">
        <v>34928</v>
      </c>
      <c r="H77">
        <v>208</v>
      </c>
      <c r="I77">
        <v>2028</v>
      </c>
      <c r="J77" t="s">
        <v>30</v>
      </c>
      <c r="N77" t="str">
        <f>IFERROR(VLOOKUP($C77,prova!$A$1:$D$250,2,FALSE),"")</f>
        <v>https://static.acb.com/media/PRO/00/00/83/58/32/0000835832_lpr_transparent.webp</v>
      </c>
      <c r="O77" s="1">
        <f>IFERROR(VLOOKUP($C77,prova!$A$1:$D$250,3,FALSE),"")</f>
        <v>34928</v>
      </c>
      <c r="P77">
        <f>IFERROR(VLOOKUP($C77,prova!$A$1:$D$250,4,FALSE),"")</f>
        <v>208</v>
      </c>
    </row>
    <row r="78" spans="1:16" x14ac:dyDescent="0.3">
      <c r="A78" t="s">
        <v>308</v>
      </c>
      <c r="B78" t="s">
        <v>54</v>
      </c>
      <c r="C78" t="s">
        <v>141</v>
      </c>
      <c r="D78" t="s">
        <v>435</v>
      </c>
      <c r="E78" t="s">
        <v>14</v>
      </c>
      <c r="F78" t="s">
        <v>288</v>
      </c>
      <c r="G78" s="4">
        <v>35731</v>
      </c>
      <c r="H78">
        <v>215</v>
      </c>
      <c r="I78">
        <v>2029</v>
      </c>
      <c r="J78" t="s">
        <v>30</v>
      </c>
      <c r="N78" t="str">
        <f>IFERROR(VLOOKUP($C78,prova!$A$1:$D$250,2,FALSE),"")</f>
        <v>https://static.acb.com/media/PRO/00/00/83/59/57/0000835957_lpr_transparent.webp</v>
      </c>
      <c r="O78" s="1">
        <f>IFERROR(VLOOKUP($C78,prova!$A$1:$D$250,3,FALSE),"")</f>
        <v>35731</v>
      </c>
      <c r="P78">
        <f>IFERROR(VLOOKUP($C78,prova!$A$1:$D$250,4,FALSE),"")</f>
        <v>215</v>
      </c>
    </row>
    <row r="79" spans="1:16" x14ac:dyDescent="0.3">
      <c r="A79" t="s">
        <v>308</v>
      </c>
      <c r="B79" t="s">
        <v>54</v>
      </c>
      <c r="C79" t="s">
        <v>142</v>
      </c>
      <c r="D79" t="s">
        <v>584</v>
      </c>
      <c r="E79" t="s">
        <v>14</v>
      </c>
      <c r="F79" t="s">
        <v>22</v>
      </c>
      <c r="G79" s="4">
        <v>36114</v>
      </c>
      <c r="H79">
        <v>210</v>
      </c>
      <c r="I79">
        <v>2027</v>
      </c>
      <c r="J79" t="s">
        <v>35</v>
      </c>
      <c r="N79" t="str">
        <f>IFERROR(VLOOKUP($C79,prova!$A$1:$D$250,2,FALSE),"")</f>
        <v>https://media-cdn.cortextech.io/b33e8226-0dfc-4169-b7db-4e5c81590d55.png</v>
      </c>
      <c r="O79" s="1">
        <f>IFERROR(VLOOKUP($C79,prova!$A$1:$D$250,3,FALSE),"")</f>
        <v>36114</v>
      </c>
      <c r="P79">
        <f>IFERROR(VLOOKUP($C79,prova!$A$1:$D$250,4,FALSE),"")</f>
        <v>210</v>
      </c>
    </row>
    <row r="80" spans="1:16" x14ac:dyDescent="0.3">
      <c r="A80" t="s">
        <v>308</v>
      </c>
      <c r="B80" t="s">
        <v>54</v>
      </c>
      <c r="C80" t="s">
        <v>143</v>
      </c>
      <c r="D80" t="s">
        <v>591</v>
      </c>
      <c r="E80" t="s">
        <v>26</v>
      </c>
      <c r="F80" t="s">
        <v>289</v>
      </c>
      <c r="G80" s="4">
        <v>37929</v>
      </c>
      <c r="H80">
        <v>212</v>
      </c>
      <c r="I80">
        <v>2028</v>
      </c>
      <c r="J80" t="s">
        <v>35</v>
      </c>
      <c r="N80" t="str">
        <f>IFERROR(VLOOKUP($C80,prova!$A$1:$D$250,2,FALSE),"")</f>
        <v>https://acb.com/_next/image?url=https%3A%2F%2Fstatic.acb.com%2Fmedia%2FPRO%2F00%2F00%2F56%2F72%2F79%2F0000567279_lpr_transparent.webp&amp;w=1200&amp;q=75</v>
      </c>
      <c r="O80" s="1">
        <f>IFERROR(VLOOKUP($C80,prova!$A$1:$D$250,3,FALSE),"")</f>
        <v>37929</v>
      </c>
      <c r="P80">
        <f>IFERROR(VLOOKUP($C80,prova!$A$1:$D$250,4,FALSE),"")</f>
        <v>212</v>
      </c>
    </row>
    <row r="81" spans="1:16" x14ac:dyDescent="0.3">
      <c r="A81" t="s">
        <v>309</v>
      </c>
      <c r="B81" t="s">
        <v>11</v>
      </c>
      <c r="C81" t="s">
        <v>144</v>
      </c>
      <c r="D81" t="s">
        <v>436</v>
      </c>
      <c r="E81" t="s">
        <v>14</v>
      </c>
      <c r="F81" t="s">
        <v>290</v>
      </c>
      <c r="G81" s="4">
        <v>30461</v>
      </c>
      <c r="H81">
        <v>191</v>
      </c>
      <c r="I81">
        <v>2027</v>
      </c>
      <c r="J81" t="s">
        <v>30</v>
      </c>
      <c r="N81" t="str">
        <f>IFERROR(VLOOKUP($C81,prova!$A$1:$D$250,2,FALSE),"")</f>
        <v>https://static.acb.com/media/PRO/00/00/83/11/09/0000831109_lpr_transparent.webp</v>
      </c>
      <c r="O81" s="1">
        <f>IFERROR(VLOOKUP($C81,prova!$A$1:$D$250,3,FALSE),"")</f>
        <v>30461</v>
      </c>
      <c r="P81">
        <f>IFERROR(VLOOKUP($C81,prova!$A$1:$D$250,4,FALSE),"")</f>
        <v>191</v>
      </c>
    </row>
    <row r="82" spans="1:16" x14ac:dyDescent="0.3">
      <c r="A82" t="s">
        <v>309</v>
      </c>
      <c r="B82" t="s">
        <v>11</v>
      </c>
      <c r="C82" t="s">
        <v>145</v>
      </c>
      <c r="D82" t="s">
        <v>437</v>
      </c>
      <c r="E82" t="s">
        <v>14</v>
      </c>
      <c r="F82" t="s">
        <v>282</v>
      </c>
      <c r="G82" s="4">
        <v>33452</v>
      </c>
      <c r="H82">
        <v>183</v>
      </c>
      <c r="I82">
        <v>2027</v>
      </c>
      <c r="J82" t="s">
        <v>30</v>
      </c>
      <c r="N82" t="str">
        <f>IFERROR(VLOOKUP($C82,prova!$A$1:$D$250,2,FALSE),"")</f>
        <v>https://static.acb.com/media/PRO/00/00/83/09/34/0000830934_lpr_transparent.webp</v>
      </c>
      <c r="O82" s="1">
        <f>IFERROR(VLOOKUP($C82,prova!$A$1:$D$250,3,FALSE),"")</f>
        <v>33452</v>
      </c>
      <c r="P82">
        <f>IFERROR(VLOOKUP($C82,prova!$A$1:$D$250,4,FALSE),"")</f>
        <v>183</v>
      </c>
    </row>
    <row r="83" spans="1:16" x14ac:dyDescent="0.3">
      <c r="A83" t="s">
        <v>309</v>
      </c>
      <c r="B83" t="s">
        <v>23</v>
      </c>
      <c r="C83" t="s">
        <v>146</v>
      </c>
      <c r="D83" t="s">
        <v>512</v>
      </c>
      <c r="E83" t="s">
        <v>49</v>
      </c>
      <c r="F83" t="s">
        <v>50</v>
      </c>
      <c r="G83" s="4">
        <v>35653</v>
      </c>
      <c r="H83">
        <v>185</v>
      </c>
      <c r="I83">
        <v>2028</v>
      </c>
      <c r="J83" t="s">
        <v>35</v>
      </c>
      <c r="N83" t="str">
        <f>IFERROR(VLOOKUP($C83,prova!$A$1:$D$250,2,FALSE),"")</f>
        <v>http://assets.fiba.basketball/image/upload/w_2000/f_auto/q_auto/v1731335669/ixnotudf6nlodgl1l3c5.png</v>
      </c>
      <c r="O83" s="1">
        <f>IFERROR(VLOOKUP($C83,prova!$A$1:$D$250,3,FALSE),"")</f>
        <v>35653</v>
      </c>
      <c r="P83">
        <f>IFERROR(VLOOKUP($C83,prova!$A$1:$D$250,4,FALSE),"")</f>
        <v>185</v>
      </c>
    </row>
    <row r="84" spans="1:16" x14ac:dyDescent="0.3">
      <c r="A84" t="s">
        <v>309</v>
      </c>
      <c r="B84" t="s">
        <v>23</v>
      </c>
      <c r="C84" t="s">
        <v>147</v>
      </c>
      <c r="D84" t="s">
        <v>438</v>
      </c>
      <c r="E84" t="s">
        <v>14</v>
      </c>
      <c r="F84" t="s">
        <v>50</v>
      </c>
      <c r="G84" s="4">
        <v>35086</v>
      </c>
      <c r="H84">
        <v>192</v>
      </c>
      <c r="I84">
        <v>2027</v>
      </c>
      <c r="J84" t="s">
        <v>16</v>
      </c>
      <c r="N84" t="str">
        <f>IFERROR(VLOOKUP($C84,prova!$A$1:$D$250,2,FALSE),"")</f>
        <v>https://static.acb.com/media/PRO/00/00/83/11/98/0000831198_lpr_transparent.webp</v>
      </c>
      <c r="O84" s="1">
        <f>IFERROR(VLOOKUP($C84,prova!$A$1:$D$250,3,FALSE),"")</f>
        <v>35086</v>
      </c>
      <c r="P84">
        <f>IFERROR(VLOOKUP($C84,prova!$A$1:$D$250,4,FALSE),"")</f>
        <v>192</v>
      </c>
    </row>
    <row r="85" spans="1:16" x14ac:dyDescent="0.3">
      <c r="A85" t="s">
        <v>309</v>
      </c>
      <c r="B85" t="s">
        <v>23</v>
      </c>
      <c r="C85" t="s">
        <v>370</v>
      </c>
      <c r="D85" t="s">
        <v>439</v>
      </c>
      <c r="E85" t="s">
        <v>26</v>
      </c>
      <c r="F85" t="s">
        <v>27</v>
      </c>
      <c r="G85" s="4">
        <v>34124</v>
      </c>
      <c r="H85">
        <v>186</v>
      </c>
      <c r="I85">
        <v>2027</v>
      </c>
      <c r="J85" t="s">
        <v>16</v>
      </c>
      <c r="N85" t="str">
        <f>IFERROR(VLOOKUP($C85,prova!$A$1:$D$250,2,FALSE),"")</f>
        <v>https://static.acb.com/media/PRO/00/00/83/10/35/0000831035_lpr_transparent.webp</v>
      </c>
      <c r="O85" s="1">
        <f>IFERROR(VLOOKUP($C85,prova!$A$1:$D$250,3,FALSE),"")</f>
        <v>34124</v>
      </c>
      <c r="P85">
        <f>IFERROR(VLOOKUP($C85,prova!$A$1:$D$250,4,FALSE),"")</f>
        <v>186</v>
      </c>
    </row>
    <row r="86" spans="1:16" x14ac:dyDescent="0.3">
      <c r="A86" t="s">
        <v>309</v>
      </c>
      <c r="B86" t="s">
        <v>36</v>
      </c>
      <c r="C86" t="s">
        <v>509</v>
      </c>
      <c r="D86" t="s">
        <v>512</v>
      </c>
      <c r="E86" t="s">
        <v>78</v>
      </c>
      <c r="F86" t="s">
        <v>50</v>
      </c>
      <c r="G86" s="4">
        <v>36897</v>
      </c>
      <c r="H86">
        <v>196</v>
      </c>
      <c r="I86">
        <v>2027</v>
      </c>
      <c r="J86" t="s">
        <v>35</v>
      </c>
      <c r="N86" t="str">
        <f>IFERROR(VLOOKUP($C86,prova!$A$1:$D$250,2,FALSE),"")</f>
        <v>http://assets.fiba.basketball/image/upload/w_2000/f_auto/q_auto/v1731335669/ixnotudf6nlodgl1l3c5.png</v>
      </c>
      <c r="O86" s="1">
        <f>IFERROR(VLOOKUP($C86,prova!$A$1:$D$250,3,FALSE),"")</f>
        <v>36897</v>
      </c>
      <c r="P86">
        <f>IFERROR(VLOOKUP($C86,prova!$A$1:$D$250,4,FALSE),"")</f>
        <v>196</v>
      </c>
    </row>
    <row r="87" spans="1:16" x14ac:dyDescent="0.3">
      <c r="A87" t="s">
        <v>309</v>
      </c>
      <c r="B87" t="s">
        <v>36</v>
      </c>
      <c r="C87" t="s">
        <v>148</v>
      </c>
      <c r="D87" t="s">
        <v>440</v>
      </c>
      <c r="E87" t="s">
        <v>14</v>
      </c>
      <c r="F87" t="s">
        <v>272</v>
      </c>
      <c r="G87" s="4">
        <v>33832</v>
      </c>
      <c r="H87">
        <v>200</v>
      </c>
      <c r="I87">
        <v>2027</v>
      </c>
      <c r="J87" t="s">
        <v>16</v>
      </c>
      <c r="N87" t="str">
        <f>IFERROR(VLOOKUP($C87,prova!$A$1:$D$250,2,FALSE),"")</f>
        <v>https://static.acb.com/media/PRO/00/00/83/11/45/0000831145_lpr_transparent.webp</v>
      </c>
      <c r="O87" s="1">
        <f>IFERROR(VLOOKUP($C87,prova!$A$1:$D$250,3,FALSE),"")</f>
        <v>33832</v>
      </c>
      <c r="P87">
        <f>IFERROR(VLOOKUP($C87,prova!$A$1:$D$250,4,FALSE),"")</f>
        <v>200</v>
      </c>
    </row>
    <row r="88" spans="1:16" x14ac:dyDescent="0.3">
      <c r="A88" t="s">
        <v>309</v>
      </c>
      <c r="B88" t="s">
        <v>36</v>
      </c>
      <c r="C88" t="s">
        <v>149</v>
      </c>
      <c r="D88" t="s">
        <v>441</v>
      </c>
      <c r="E88" t="s">
        <v>26</v>
      </c>
      <c r="F88" t="s">
        <v>27</v>
      </c>
      <c r="G88" s="4">
        <v>35569</v>
      </c>
      <c r="H88">
        <v>200</v>
      </c>
      <c r="I88">
        <v>2028</v>
      </c>
      <c r="J88" t="s">
        <v>35</v>
      </c>
      <c r="N88" t="str">
        <f>IFERROR(VLOOKUP($C88,prova!$A$1:$D$250,2,FALSE),"")</f>
        <v>https://static.acb.com/media/PRO/00/00/85/19/70/0000851970_lpr_transparent.webp</v>
      </c>
      <c r="O88" s="1">
        <f>IFERROR(VLOOKUP($C88,prova!$A$1:$D$250,3,FALSE),"")</f>
        <v>35569</v>
      </c>
      <c r="P88">
        <f>IFERROR(VLOOKUP($C88,prova!$A$1:$D$250,4,FALSE),"")</f>
        <v>200</v>
      </c>
    </row>
    <row r="89" spans="1:16" x14ac:dyDescent="0.3">
      <c r="A89" t="s">
        <v>309</v>
      </c>
      <c r="B89" t="s">
        <v>44</v>
      </c>
      <c r="C89" t="s">
        <v>150</v>
      </c>
      <c r="D89" t="s">
        <v>442</v>
      </c>
      <c r="E89" t="s">
        <v>14</v>
      </c>
      <c r="F89" t="s">
        <v>50</v>
      </c>
      <c r="G89" s="4">
        <v>32768</v>
      </c>
      <c r="H89">
        <v>202.99999999999997</v>
      </c>
      <c r="I89">
        <v>2027</v>
      </c>
      <c r="J89" t="s">
        <v>16</v>
      </c>
      <c r="N89" t="str">
        <f>IFERROR(VLOOKUP($C89,prova!$A$1:$D$250,2,FALSE),"")</f>
        <v>https://static.acb.com/media/PRO/00/00/83/11/80/0000831180_lpr_transparent.webp</v>
      </c>
      <c r="O89" s="1">
        <f>IFERROR(VLOOKUP($C89,prova!$A$1:$D$250,3,FALSE),"")</f>
        <v>32768</v>
      </c>
      <c r="P89">
        <f>IFERROR(VLOOKUP($C89,prova!$A$1:$D$250,4,FALSE),"")</f>
        <v>202.99999999999997</v>
      </c>
    </row>
    <row r="90" spans="1:16" x14ac:dyDescent="0.3">
      <c r="A90" t="s">
        <v>309</v>
      </c>
      <c r="B90" t="s">
        <v>44</v>
      </c>
      <c r="C90" t="s">
        <v>151</v>
      </c>
      <c r="D90" t="s">
        <v>443</v>
      </c>
      <c r="E90" t="s">
        <v>14</v>
      </c>
      <c r="F90" t="s">
        <v>270</v>
      </c>
      <c r="G90" s="4">
        <v>31386</v>
      </c>
      <c r="H90">
        <v>200.99999999999997</v>
      </c>
      <c r="I90">
        <v>2027</v>
      </c>
      <c r="J90" t="s">
        <v>30</v>
      </c>
      <c r="N90" t="str">
        <f>IFERROR(VLOOKUP($C90,prova!$A$1:$D$250,2,FALSE),"")</f>
        <v>https://static.acb.com/media/PRO/00/00/83/09/13/0000830913_lpr_transparent.webp</v>
      </c>
      <c r="O90" s="1">
        <f>IFERROR(VLOOKUP($C90,prova!$A$1:$D$250,3,FALSE),"")</f>
        <v>31386</v>
      </c>
      <c r="P90">
        <f>IFERROR(VLOOKUP($C90,prova!$A$1:$D$250,4,FALSE),"")</f>
        <v>200.99999999999997</v>
      </c>
    </row>
    <row r="91" spans="1:16" x14ac:dyDescent="0.3">
      <c r="A91" t="s">
        <v>309</v>
      </c>
      <c r="B91" t="s">
        <v>44</v>
      </c>
      <c r="C91" t="s">
        <v>152</v>
      </c>
      <c r="D91" t="s">
        <v>444</v>
      </c>
      <c r="E91" t="s">
        <v>26</v>
      </c>
      <c r="F91" t="s">
        <v>27</v>
      </c>
      <c r="G91" s="4">
        <v>37321</v>
      </c>
      <c r="H91">
        <v>202.99999999999997</v>
      </c>
      <c r="I91">
        <v>2027</v>
      </c>
      <c r="J91" t="s">
        <v>30</v>
      </c>
      <c r="N91" t="str">
        <f>IFERROR(VLOOKUP($C91,prova!$A$1:$D$250,2,FALSE),"")</f>
        <v>https://static.acb.com/media/PRO/00/00/83/10/22/0000831022_lpr_transparent.webp</v>
      </c>
      <c r="O91" s="1">
        <f>IFERROR(VLOOKUP($C91,prova!$A$1:$D$250,3,FALSE),"")</f>
        <v>37321</v>
      </c>
      <c r="P91">
        <f>IFERROR(VLOOKUP($C91,prova!$A$1:$D$250,4,FALSE),"")</f>
        <v>202.99999999999997</v>
      </c>
    </row>
    <row r="92" spans="1:16" x14ac:dyDescent="0.3">
      <c r="A92" t="s">
        <v>309</v>
      </c>
      <c r="B92" t="s">
        <v>54</v>
      </c>
      <c r="C92" t="s">
        <v>153</v>
      </c>
      <c r="D92" t="s">
        <v>445</v>
      </c>
      <c r="E92" t="s">
        <v>14</v>
      </c>
      <c r="F92" t="s">
        <v>291</v>
      </c>
      <c r="G92" s="4">
        <v>32600</v>
      </c>
      <c r="H92">
        <v>217</v>
      </c>
      <c r="I92">
        <v>2027</v>
      </c>
      <c r="J92" t="s">
        <v>16</v>
      </c>
      <c r="N92" t="str">
        <f>IFERROR(VLOOKUP($C92,prova!$A$1:$D$250,2,FALSE),"")</f>
        <v>https://static.acb.com/media/PRO/00/00/83/10/03/0000831003_lpr_transparent.webp</v>
      </c>
      <c r="O92" s="1">
        <f>IFERROR(VLOOKUP($C92,prova!$A$1:$D$250,3,FALSE),"")</f>
        <v>32600</v>
      </c>
      <c r="P92">
        <f>IFERROR(VLOOKUP($C92,prova!$A$1:$D$250,4,FALSE),"")</f>
        <v>217</v>
      </c>
    </row>
    <row r="93" spans="1:16" x14ac:dyDescent="0.3">
      <c r="A93" t="s">
        <v>309</v>
      </c>
      <c r="B93" t="s">
        <v>54</v>
      </c>
      <c r="C93" t="s">
        <v>154</v>
      </c>
      <c r="D93" t="s">
        <v>446</v>
      </c>
      <c r="E93" t="s">
        <v>14</v>
      </c>
      <c r="F93" t="s">
        <v>50</v>
      </c>
      <c r="G93" s="4">
        <v>35192</v>
      </c>
      <c r="H93">
        <v>208</v>
      </c>
      <c r="I93">
        <v>2028</v>
      </c>
      <c r="J93" t="s">
        <v>35</v>
      </c>
      <c r="N93" t="str">
        <f>IFERROR(VLOOKUP($C93,prova!$A$1:$D$250,2,FALSE),"")</f>
        <v>https://static.acb.com/media/PRO/00/00/86/18/78/0000861878_lpr_transparent.webp</v>
      </c>
      <c r="O93" s="1">
        <f>IFERROR(VLOOKUP($C93,prova!$A$1:$D$250,3,FALSE),"")</f>
        <v>35192</v>
      </c>
      <c r="P93">
        <f>IFERROR(VLOOKUP($C93,prova!$A$1:$D$250,4,FALSE),"")</f>
        <v>208</v>
      </c>
    </row>
    <row r="94" spans="1:16" x14ac:dyDescent="0.3">
      <c r="A94" t="s">
        <v>500</v>
      </c>
      <c r="B94" t="s">
        <v>11</v>
      </c>
      <c r="C94" t="s">
        <v>155</v>
      </c>
      <c r="D94" t="s">
        <v>447</v>
      </c>
      <c r="E94" t="s">
        <v>14</v>
      </c>
      <c r="F94" t="s">
        <v>50</v>
      </c>
      <c r="G94" s="4">
        <v>33961</v>
      </c>
      <c r="H94">
        <v>183</v>
      </c>
      <c r="I94">
        <v>2027</v>
      </c>
      <c r="J94" t="s">
        <v>16</v>
      </c>
      <c r="N94" t="str">
        <f>IFERROR(VLOOKUP($C94,prova!$A$1:$D$250,2,FALSE),"")</f>
        <v>https://static.acb.com/media/PRO/00/00/82/69/59/0000826959_lpr_transparent.webp</v>
      </c>
      <c r="O94" s="1">
        <f>IFERROR(VLOOKUP($C94,prova!$A$1:$D$250,3,FALSE),"")</f>
        <v>33961</v>
      </c>
      <c r="P94">
        <f>IFERROR(VLOOKUP($C94,prova!$A$1:$D$250,4,FALSE),"")</f>
        <v>183</v>
      </c>
    </row>
    <row r="95" spans="1:16" x14ac:dyDescent="0.3">
      <c r="A95" t="s">
        <v>500</v>
      </c>
      <c r="B95" t="s">
        <v>11</v>
      </c>
      <c r="C95" t="s">
        <v>156</v>
      </c>
      <c r="D95" t="s">
        <v>448</v>
      </c>
      <c r="E95" t="s">
        <v>26</v>
      </c>
      <c r="F95" t="s">
        <v>27</v>
      </c>
      <c r="G95" s="4">
        <v>34447</v>
      </c>
      <c r="H95">
        <v>190</v>
      </c>
      <c r="I95">
        <v>2028</v>
      </c>
      <c r="J95" t="s">
        <v>16</v>
      </c>
      <c r="N95" t="str">
        <f>IFERROR(VLOOKUP($C95,prova!$A$1:$D$250,2,FALSE),"")</f>
        <v>https://static.acb.com/media/PRO/00/00/82/67/01/0000826701_lpr_transparent.webp</v>
      </c>
      <c r="O95" s="1">
        <f>IFERROR(VLOOKUP($C95,prova!$A$1:$D$250,3,FALSE),"")</f>
        <v>34447</v>
      </c>
      <c r="P95">
        <f>IFERROR(VLOOKUP($C95,prova!$A$1:$D$250,4,FALSE),"")</f>
        <v>190</v>
      </c>
    </row>
    <row r="96" spans="1:16" x14ac:dyDescent="0.3">
      <c r="A96" t="s">
        <v>500</v>
      </c>
      <c r="B96" t="s">
        <v>11</v>
      </c>
      <c r="C96" t="s">
        <v>157</v>
      </c>
      <c r="D96" t="s">
        <v>449</v>
      </c>
      <c r="E96" t="s">
        <v>26</v>
      </c>
      <c r="F96" t="s">
        <v>277</v>
      </c>
      <c r="G96" s="4">
        <v>36626</v>
      </c>
      <c r="H96">
        <v>190</v>
      </c>
      <c r="I96">
        <v>2029</v>
      </c>
      <c r="J96" t="s">
        <v>267</v>
      </c>
      <c r="N96" t="str">
        <f>IFERROR(VLOOKUP($C96,prova!$A$1:$D$250,2,FALSE),"")</f>
        <v>https://static.acb.com/media/PRO/00/00/83/58/95/0000835895_lpr_transparent.webp</v>
      </c>
      <c r="O96" s="1">
        <f>IFERROR(VLOOKUP($C96,prova!$A$1:$D$250,3,FALSE),"")</f>
        <v>36626</v>
      </c>
      <c r="P96">
        <f>IFERROR(VLOOKUP($C96,prova!$A$1:$D$250,4,FALSE),"")</f>
        <v>190</v>
      </c>
    </row>
    <row r="97" spans="1:16" x14ac:dyDescent="0.3">
      <c r="A97" t="s">
        <v>500</v>
      </c>
      <c r="B97" t="s">
        <v>23</v>
      </c>
      <c r="C97" t="s">
        <v>158</v>
      </c>
      <c r="D97" t="s">
        <v>450</v>
      </c>
      <c r="E97" t="s">
        <v>49</v>
      </c>
      <c r="F97" t="s">
        <v>50</v>
      </c>
      <c r="G97" s="4">
        <v>35667</v>
      </c>
      <c r="H97">
        <v>191</v>
      </c>
      <c r="I97">
        <v>2028</v>
      </c>
      <c r="J97" t="s">
        <v>35</v>
      </c>
      <c r="N97" t="str">
        <f>IFERROR(VLOOKUP($C97,prova!$A$1:$D$250,2,FALSE),"")</f>
        <v>https://static.acb.com/media/PRO/00/00/88/22/74/0000882274_lpr_transparent.webp</v>
      </c>
      <c r="O97" s="1">
        <f>IFERROR(VLOOKUP($C97,prova!$A$1:$D$250,3,FALSE),"")</f>
        <v>35667</v>
      </c>
      <c r="P97">
        <f>IFERROR(VLOOKUP($C97,prova!$A$1:$D$250,4,FALSE),"")</f>
        <v>191</v>
      </c>
    </row>
    <row r="98" spans="1:16" x14ac:dyDescent="0.3">
      <c r="A98" t="s">
        <v>500</v>
      </c>
      <c r="B98" t="s">
        <v>23</v>
      </c>
      <c r="C98" t="s">
        <v>159</v>
      </c>
      <c r="D98" t="s">
        <v>451</v>
      </c>
      <c r="E98" t="s">
        <v>14</v>
      </c>
      <c r="F98" t="s">
        <v>50</v>
      </c>
      <c r="G98" s="4">
        <v>33957</v>
      </c>
      <c r="H98">
        <v>193</v>
      </c>
      <c r="I98">
        <v>2027</v>
      </c>
      <c r="J98" t="s">
        <v>16</v>
      </c>
      <c r="N98" t="str">
        <f>IFERROR(VLOOKUP($C98,prova!$A$1:$D$250,2,FALSE),"")</f>
        <v>https://static.acb.com/media/PRO/00/00/82/71/16/0000827116_lpr_transparent.webp</v>
      </c>
      <c r="O98" s="1">
        <f>IFERROR(VLOOKUP($C98,prova!$A$1:$D$250,3,FALSE),"")</f>
        <v>33957</v>
      </c>
      <c r="P98">
        <f>IFERROR(VLOOKUP($C98,prova!$A$1:$D$250,4,FALSE),"")</f>
        <v>193</v>
      </c>
    </row>
    <row r="99" spans="1:16" x14ac:dyDescent="0.3">
      <c r="A99" t="s">
        <v>500</v>
      </c>
      <c r="B99" t="s">
        <v>23</v>
      </c>
      <c r="C99" t="s">
        <v>160</v>
      </c>
      <c r="D99" t="s">
        <v>452</v>
      </c>
      <c r="E99" t="s">
        <v>26</v>
      </c>
      <c r="F99" t="s">
        <v>294</v>
      </c>
      <c r="G99" s="4">
        <v>32885</v>
      </c>
      <c r="H99">
        <v>197</v>
      </c>
      <c r="I99">
        <v>2027</v>
      </c>
      <c r="J99" t="s">
        <v>30</v>
      </c>
      <c r="N99" t="str">
        <f>IFERROR(VLOOKUP($C99,prova!$A$1:$D$250,2,FALSE),"")</f>
        <v>https://static.acb.com/media/PRO/00/00/82/70/48/0000827048_lpr_transparent.webp</v>
      </c>
      <c r="O99" s="1">
        <f>IFERROR(VLOOKUP($C99,prova!$A$1:$D$250,3,FALSE),"")</f>
        <v>32885</v>
      </c>
      <c r="P99">
        <f>IFERROR(VLOOKUP($C99,prova!$A$1:$D$250,4,FALSE),"")</f>
        <v>197</v>
      </c>
    </row>
    <row r="100" spans="1:16" x14ac:dyDescent="0.3">
      <c r="A100" t="s">
        <v>500</v>
      </c>
      <c r="B100" t="s">
        <v>36</v>
      </c>
      <c r="C100" t="s">
        <v>161</v>
      </c>
      <c r="D100" t="s">
        <v>512</v>
      </c>
      <c r="E100" t="s">
        <v>14</v>
      </c>
      <c r="F100" t="s">
        <v>272</v>
      </c>
      <c r="G100" s="4">
        <v>37481</v>
      </c>
      <c r="H100">
        <v>198</v>
      </c>
      <c r="I100" s="2" t="s">
        <v>34</v>
      </c>
      <c r="J100" t="s">
        <v>292</v>
      </c>
      <c r="N100" t="str">
        <f>IFERROR(VLOOKUP($C100,prova!$A$1:$D$250,2,FALSE),"")</f>
        <v>http://assets.fiba.basketball/image/upload/w_2000/f_auto/q_auto/v1731335669/ixnotudf6nlodgl1l3c5.png</v>
      </c>
      <c r="O100" s="1">
        <f>IFERROR(VLOOKUP($C100,prova!$A$1:$D$250,3,FALSE),"")</f>
        <v>37481</v>
      </c>
      <c r="P100">
        <f>IFERROR(VLOOKUP($C100,prova!$A$1:$D$250,4,FALSE),"")</f>
        <v>198</v>
      </c>
    </row>
    <row r="101" spans="1:16" x14ac:dyDescent="0.3">
      <c r="A101" t="s">
        <v>500</v>
      </c>
      <c r="B101" t="s">
        <v>36</v>
      </c>
      <c r="C101" t="s">
        <v>162</v>
      </c>
      <c r="D101" t="s">
        <v>585</v>
      </c>
      <c r="E101" t="s">
        <v>14</v>
      </c>
      <c r="F101" t="s">
        <v>272</v>
      </c>
      <c r="G101" s="4">
        <v>36168</v>
      </c>
      <c r="H101">
        <v>201</v>
      </c>
      <c r="I101">
        <v>2027</v>
      </c>
      <c r="J101" t="s">
        <v>35</v>
      </c>
      <c r="N101" t="str">
        <f>IFERROR(VLOOKUP($C101,prova!$A$1:$D$250,2,FALSE),"")</f>
        <v>https://media-cdn.cortextech.io/32aea757-dc80-4848-82f4-525b77e0eb0d.png</v>
      </c>
      <c r="O101" s="1">
        <f>IFERROR(VLOOKUP($C101,prova!$A$1:$D$250,3,FALSE),"")</f>
        <v>36168</v>
      </c>
      <c r="P101">
        <f>IFERROR(VLOOKUP($C101,prova!$A$1:$D$250,4,FALSE),"")</f>
        <v>201</v>
      </c>
    </row>
    <row r="102" spans="1:16" x14ac:dyDescent="0.3">
      <c r="A102" t="s">
        <v>500</v>
      </c>
      <c r="B102" t="s">
        <v>36</v>
      </c>
      <c r="C102" t="s">
        <v>163</v>
      </c>
      <c r="D102" t="s">
        <v>453</v>
      </c>
      <c r="E102" t="s">
        <v>26</v>
      </c>
      <c r="F102" t="s">
        <v>27</v>
      </c>
      <c r="G102" s="4">
        <v>35446</v>
      </c>
      <c r="H102">
        <v>202.99999999999997</v>
      </c>
      <c r="I102">
        <v>2027</v>
      </c>
      <c r="J102" t="s">
        <v>30</v>
      </c>
      <c r="N102" t="str">
        <f>IFERROR(VLOOKUP($C102,prova!$A$1:$D$250,2,FALSE),"")</f>
        <v>https://static.acb.com/media/PRO/00/00/82/69/24/0000826924_lpr_transparent.webp</v>
      </c>
      <c r="O102" s="1">
        <f>IFERROR(VLOOKUP($C102,prova!$A$1:$D$250,3,FALSE),"")</f>
        <v>35446</v>
      </c>
      <c r="P102">
        <f>IFERROR(VLOOKUP($C102,prova!$A$1:$D$250,4,FALSE),"")</f>
        <v>202.99999999999997</v>
      </c>
    </row>
    <row r="103" spans="1:16" x14ac:dyDescent="0.3">
      <c r="A103" t="s">
        <v>500</v>
      </c>
      <c r="B103" t="s">
        <v>44</v>
      </c>
      <c r="C103" t="s">
        <v>164</v>
      </c>
      <c r="D103" t="s">
        <v>570</v>
      </c>
      <c r="E103" t="s">
        <v>14</v>
      </c>
      <c r="F103" t="s">
        <v>22</v>
      </c>
      <c r="G103" s="4">
        <v>35468</v>
      </c>
      <c r="H103">
        <v>202</v>
      </c>
      <c r="I103">
        <v>2028</v>
      </c>
      <c r="J103" t="s">
        <v>35</v>
      </c>
      <c r="N103" t="str">
        <f>IFERROR(VLOOKUP($C103,prova!$A$1:$D$250,2,FALSE),"")</f>
        <v>https://media-cdn.cortextech.io/1dU3kpCqReRp93/1BSdBWIjCbqck7/eb206bb3-3e1f-488d-b1fe-ecfcbab13249.png</v>
      </c>
      <c r="O103" s="1">
        <f>IFERROR(VLOOKUP($C103,prova!$A$1:$D$250,3,FALSE),"")</f>
        <v>35468</v>
      </c>
      <c r="P103">
        <f>IFERROR(VLOOKUP($C103,prova!$A$1:$D$250,4,FALSE),"")</f>
        <v>202</v>
      </c>
    </row>
    <row r="104" spans="1:16" x14ac:dyDescent="0.3">
      <c r="A104" t="s">
        <v>500</v>
      </c>
      <c r="B104" t="s">
        <v>44</v>
      </c>
      <c r="C104" t="s">
        <v>165</v>
      </c>
      <c r="D104" t="s">
        <v>454</v>
      </c>
      <c r="E104" t="s">
        <v>26</v>
      </c>
      <c r="F104" t="s">
        <v>27</v>
      </c>
      <c r="G104" s="4">
        <v>35093</v>
      </c>
      <c r="H104">
        <v>202</v>
      </c>
      <c r="I104">
        <v>2029</v>
      </c>
      <c r="J104" t="s">
        <v>16</v>
      </c>
      <c r="N104" t="str">
        <f>IFERROR(VLOOKUP($C104,prova!$A$1:$D$250,2,FALSE),"")</f>
        <v>https://static.acb.com/media/PRO/00/00/82/71/45/0000827145_lpr_transparent.webp</v>
      </c>
      <c r="O104" s="1">
        <f>IFERROR(VLOOKUP($C104,prova!$A$1:$D$250,3,FALSE),"")</f>
        <v>35093</v>
      </c>
      <c r="P104">
        <f>IFERROR(VLOOKUP($C104,prova!$A$1:$D$250,4,FALSE),"")</f>
        <v>202</v>
      </c>
    </row>
    <row r="105" spans="1:16" x14ac:dyDescent="0.3">
      <c r="A105" t="s">
        <v>500</v>
      </c>
      <c r="B105" t="s">
        <v>54</v>
      </c>
      <c r="C105" t="s">
        <v>166</v>
      </c>
      <c r="D105" t="s">
        <v>455</v>
      </c>
      <c r="E105" t="s">
        <v>26</v>
      </c>
      <c r="F105" t="s">
        <v>27</v>
      </c>
      <c r="G105" s="4">
        <v>34481</v>
      </c>
      <c r="H105">
        <v>210</v>
      </c>
      <c r="I105">
        <v>2027</v>
      </c>
      <c r="J105" t="s">
        <v>35</v>
      </c>
      <c r="N105" t="str">
        <f>IFERROR(VLOOKUP($C105,prova!$A$1:$D$250,2,FALSE),"")</f>
        <v>https://static.acb.com/media/PRO/00/00/82/98/51/0000829851_lpr_transparent.webp</v>
      </c>
      <c r="O105" s="1">
        <f>IFERROR(VLOOKUP($C105,prova!$A$1:$D$250,3,FALSE),"")</f>
        <v>34481</v>
      </c>
      <c r="P105">
        <f>IFERROR(VLOOKUP($C105,prova!$A$1:$D$250,4,FALSE),"")</f>
        <v>210</v>
      </c>
    </row>
    <row r="106" spans="1:16" x14ac:dyDescent="0.3">
      <c r="A106" t="s">
        <v>500</v>
      </c>
      <c r="B106" t="s">
        <v>54</v>
      </c>
      <c r="C106" t="s">
        <v>167</v>
      </c>
      <c r="D106" t="s">
        <v>456</v>
      </c>
      <c r="E106" t="s">
        <v>14</v>
      </c>
      <c r="F106" t="s">
        <v>50</v>
      </c>
      <c r="G106" s="4">
        <v>33859</v>
      </c>
      <c r="H106">
        <v>208</v>
      </c>
      <c r="I106">
        <v>2028</v>
      </c>
      <c r="J106" t="s">
        <v>16</v>
      </c>
      <c r="N106" t="str">
        <f>IFERROR(VLOOKUP($C106,prova!$A$1:$D$250,2,FALSE),"")</f>
        <v>https://static.acb.com/media/PRO/00/00/82/68/13/0000826813_lpr_transparent.webp</v>
      </c>
      <c r="O106" s="1">
        <f>IFERROR(VLOOKUP($C106,prova!$A$1:$D$250,3,FALSE),"")</f>
        <v>33859</v>
      </c>
      <c r="P106">
        <f>IFERROR(VLOOKUP($C106,prova!$A$1:$D$250,4,FALSE),"")</f>
        <v>208</v>
      </c>
    </row>
    <row r="107" spans="1:16" x14ac:dyDescent="0.3">
      <c r="A107" t="s">
        <v>500</v>
      </c>
      <c r="B107" t="s">
        <v>54</v>
      </c>
      <c r="C107" t="s">
        <v>168</v>
      </c>
      <c r="D107" t="s">
        <v>457</v>
      </c>
      <c r="E107" t="s">
        <v>26</v>
      </c>
      <c r="F107" t="s">
        <v>293</v>
      </c>
      <c r="G107" s="4">
        <v>37940</v>
      </c>
      <c r="H107">
        <v>208</v>
      </c>
      <c r="I107">
        <v>2027</v>
      </c>
      <c r="J107" t="s">
        <v>267</v>
      </c>
      <c r="N107" t="str">
        <f>IFERROR(VLOOKUP($C107,prova!$A$1:$D$250,2,FALSE),"")</f>
        <v>https://static.acb.com/media/PRO/00/00/83/28/52/0000832852_lpr_transparent.webp</v>
      </c>
      <c r="O107" s="1">
        <f>IFERROR(VLOOKUP($C107,prova!$A$1:$D$250,3,FALSE),"")</f>
        <v>37940</v>
      </c>
      <c r="P107">
        <f>IFERROR(VLOOKUP($C107,prova!$A$1:$D$250,4,FALSE),"")</f>
        <v>208</v>
      </c>
    </row>
    <row r="108" spans="1:16" x14ac:dyDescent="0.3">
      <c r="A108" t="s">
        <v>501</v>
      </c>
      <c r="B108" t="s">
        <v>11</v>
      </c>
      <c r="C108" t="s">
        <v>169</v>
      </c>
      <c r="D108" t="s">
        <v>458</v>
      </c>
      <c r="E108" t="s">
        <v>14</v>
      </c>
      <c r="F108" t="s">
        <v>22</v>
      </c>
      <c r="G108" s="4">
        <v>36911</v>
      </c>
      <c r="H108">
        <v>192</v>
      </c>
      <c r="I108">
        <v>2028</v>
      </c>
      <c r="J108" t="s">
        <v>16</v>
      </c>
      <c r="N108" t="str">
        <f>IFERROR(VLOOKUP($C108,prova!$A$1:$D$250,2,FALSE),"")</f>
        <v>https://static.acb.com/media/PRO/00/00/82/74/22/0000827422_lpr_transparent.webp</v>
      </c>
      <c r="O108" s="1">
        <f>IFERROR(VLOOKUP($C108,prova!$A$1:$D$250,3,FALSE),"")</f>
        <v>36911</v>
      </c>
      <c r="P108">
        <f>IFERROR(VLOOKUP($C108,prova!$A$1:$D$250,4,FALSE),"")</f>
        <v>192</v>
      </c>
    </row>
    <row r="109" spans="1:16" x14ac:dyDescent="0.3">
      <c r="A109" t="s">
        <v>501</v>
      </c>
      <c r="B109" t="s">
        <v>11</v>
      </c>
      <c r="C109" t="s">
        <v>170</v>
      </c>
      <c r="D109" t="s">
        <v>459</v>
      </c>
      <c r="E109" t="s">
        <v>26</v>
      </c>
      <c r="F109" t="s">
        <v>27</v>
      </c>
      <c r="G109" s="4">
        <v>33723</v>
      </c>
      <c r="H109">
        <v>181</v>
      </c>
      <c r="I109">
        <v>2028</v>
      </c>
      <c r="J109" t="s">
        <v>30</v>
      </c>
      <c r="N109" t="str">
        <f>IFERROR(VLOOKUP($C109,prova!$A$1:$D$250,2,FALSE),"")</f>
        <v>https://static.acb.com/media/PRO/00/00/86/74/90/0000867490_lpr_transparent.webp</v>
      </c>
      <c r="O109" s="1">
        <f>IFERROR(VLOOKUP($C109,prova!$A$1:$D$250,3,FALSE),"")</f>
        <v>33723</v>
      </c>
      <c r="P109">
        <f>IFERROR(VLOOKUP($C109,prova!$A$1:$D$250,4,FALSE),"")</f>
        <v>181</v>
      </c>
    </row>
    <row r="110" spans="1:16" x14ac:dyDescent="0.3">
      <c r="A110" t="s">
        <v>501</v>
      </c>
      <c r="B110" t="s">
        <v>11</v>
      </c>
      <c r="C110" t="s">
        <v>171</v>
      </c>
      <c r="D110" t="s">
        <v>460</v>
      </c>
      <c r="E110" t="s">
        <v>26</v>
      </c>
      <c r="F110" t="s">
        <v>27</v>
      </c>
      <c r="G110" s="4">
        <v>38208</v>
      </c>
      <c r="H110">
        <v>191</v>
      </c>
      <c r="I110">
        <v>2028</v>
      </c>
      <c r="J110" t="s">
        <v>35</v>
      </c>
      <c r="N110" t="str">
        <f>IFERROR(VLOOKUP($C110,prova!$A$1:$D$250,2,FALSE),"")</f>
        <v>https://static.acb.com/media/PRO/00/00/83/36/76/0000833676_lpr_transparent.webp</v>
      </c>
      <c r="O110" s="1">
        <f>IFERROR(VLOOKUP($C110,prova!$A$1:$D$250,3,FALSE),"")</f>
        <v>38208</v>
      </c>
      <c r="P110">
        <f>IFERROR(VLOOKUP($C110,prova!$A$1:$D$250,4,FALSE),"")</f>
        <v>191</v>
      </c>
    </row>
    <row r="111" spans="1:16" x14ac:dyDescent="0.3">
      <c r="A111" t="s">
        <v>501</v>
      </c>
      <c r="B111" t="s">
        <v>11</v>
      </c>
      <c r="C111" t="s">
        <v>172</v>
      </c>
      <c r="D111" t="s">
        <v>592</v>
      </c>
      <c r="E111" t="s">
        <v>14</v>
      </c>
      <c r="F111" t="s">
        <v>22</v>
      </c>
      <c r="G111" s="4">
        <v>37400</v>
      </c>
      <c r="H111">
        <v>192</v>
      </c>
      <c r="I111">
        <v>2029</v>
      </c>
      <c r="J111" t="s">
        <v>35</v>
      </c>
      <c r="N111" t="str">
        <f>IFERROR(VLOOKUP($C111,prova!$A$1:$D$250,2,FALSE),"")</f>
        <v>https://www.proballers.com/media/cache/headshot_600/player/headshot/75959.png</v>
      </c>
      <c r="O111" s="1">
        <f>IFERROR(VLOOKUP($C111,prova!$A$1:$D$250,3,FALSE),"")</f>
        <v>37400</v>
      </c>
      <c r="P111">
        <f>IFERROR(VLOOKUP($C111,prova!$A$1:$D$250,4,FALSE),"")</f>
        <v>192</v>
      </c>
    </row>
    <row r="112" spans="1:16" x14ac:dyDescent="0.3">
      <c r="A112" t="s">
        <v>501</v>
      </c>
      <c r="B112" t="s">
        <v>23</v>
      </c>
      <c r="C112" t="s">
        <v>173</v>
      </c>
      <c r="D112" t="s">
        <v>512</v>
      </c>
      <c r="E112" t="s">
        <v>14</v>
      </c>
      <c r="F112" t="s">
        <v>281</v>
      </c>
      <c r="G112" s="4">
        <v>36369</v>
      </c>
      <c r="H112">
        <v>195</v>
      </c>
      <c r="I112">
        <v>2028</v>
      </c>
      <c r="J112" t="s">
        <v>35</v>
      </c>
      <c r="N112" t="str">
        <f>IFERROR(VLOOKUP($C112,prova!$A$1:$D$250,2,FALSE),"")</f>
        <v>http://assets.fiba.basketball/image/upload/w_2000/f_auto/q_auto/v1731335669/ixnotudf6nlodgl1l3c5.png</v>
      </c>
      <c r="O112" s="1">
        <f>IFERROR(VLOOKUP($C112,prova!$A$1:$D$250,3,FALSE),"")</f>
        <v>36369</v>
      </c>
      <c r="P112">
        <f>IFERROR(VLOOKUP($C112,prova!$A$1:$D$250,4,FALSE),"")</f>
        <v>195</v>
      </c>
    </row>
    <row r="113" spans="1:16" x14ac:dyDescent="0.3">
      <c r="A113" t="s">
        <v>501</v>
      </c>
      <c r="B113" t="s">
        <v>36</v>
      </c>
      <c r="C113" t="s">
        <v>174</v>
      </c>
      <c r="D113" t="s">
        <v>512</v>
      </c>
      <c r="E113" t="s">
        <v>78</v>
      </c>
      <c r="F113" t="s">
        <v>50</v>
      </c>
      <c r="G113" s="4">
        <v>37223</v>
      </c>
      <c r="H113">
        <v>200</v>
      </c>
      <c r="I113">
        <v>2028</v>
      </c>
      <c r="J113" t="s">
        <v>35</v>
      </c>
      <c r="N113" t="str">
        <f>IFERROR(VLOOKUP($C113,prova!$A$1:$D$250,2,FALSE),"")</f>
        <v>http://assets.fiba.basketball/image/upload/w_2000/f_auto/q_auto/v1731335669/ixnotudf6nlodgl1l3c5.png</v>
      </c>
      <c r="O113" s="1">
        <f>IFERROR(VLOOKUP($C113,prova!$A$1:$D$250,3,FALSE),"")</f>
        <v>37223</v>
      </c>
      <c r="P113">
        <f>IFERROR(VLOOKUP($C113,prova!$A$1:$D$250,4,FALSE),"")</f>
        <v>200</v>
      </c>
    </row>
    <row r="114" spans="1:16" x14ac:dyDescent="0.3">
      <c r="A114" t="s">
        <v>501</v>
      </c>
      <c r="B114" t="s">
        <v>36</v>
      </c>
      <c r="C114" t="s">
        <v>175</v>
      </c>
      <c r="D114" t="s">
        <v>589</v>
      </c>
      <c r="E114" t="s">
        <v>26</v>
      </c>
      <c r="F114" t="s">
        <v>27</v>
      </c>
      <c r="G114" s="4">
        <v>37868</v>
      </c>
      <c r="H114">
        <v>201</v>
      </c>
      <c r="I114">
        <v>2028</v>
      </c>
      <c r="J114" t="s">
        <v>35</v>
      </c>
      <c r="N114" t="str">
        <f>IFERROR(VLOOKUP($C114,prova!$A$1:$D$250,2,FALSE),"")</f>
        <v>https://lsusports.net/imgproxy/Yn_4fIjE1BMlaxIDpHu527piAsa6FEc_hZa7O2T2RMY/rs:fit:1600:0:0:0/q:90/aHR0cHM6Ly9zdG9yYWdlLmdvb2dsZWFwaXMuY29tL2xzdXNwb3J0cy1uZXQtcHJvZC8yMDI1LzA3LzIzOWI4MTBmLXBhYmxvX3RhbWJhXzIwMjVhLmpwZw.jpg</v>
      </c>
      <c r="O114" s="1">
        <f>IFERROR(VLOOKUP($C114,prova!$A$1:$D$250,3,FALSE),"")</f>
        <v>37868</v>
      </c>
      <c r="P114">
        <f>IFERROR(VLOOKUP($C114,prova!$A$1:$D$250,4,FALSE),"")</f>
        <v>201</v>
      </c>
    </row>
    <row r="115" spans="1:16" x14ac:dyDescent="0.3">
      <c r="A115" t="s">
        <v>501</v>
      </c>
      <c r="B115" t="s">
        <v>44</v>
      </c>
      <c r="C115" t="s">
        <v>176</v>
      </c>
      <c r="D115" t="s">
        <v>512</v>
      </c>
      <c r="E115" t="s">
        <v>49</v>
      </c>
      <c r="F115" t="s">
        <v>50</v>
      </c>
      <c r="G115" s="4">
        <v>36534</v>
      </c>
      <c r="H115">
        <v>198</v>
      </c>
      <c r="I115">
        <v>2027</v>
      </c>
      <c r="J115" t="s">
        <v>35</v>
      </c>
      <c r="N115" t="str">
        <f>IFERROR(VLOOKUP($C115,prova!$A$1:$D$250,2,FALSE),"")</f>
        <v>http://assets.fiba.basketball/image/upload/w_2000/f_auto/q_auto/v1731335669/ixnotudf6nlodgl1l3c5.png</v>
      </c>
      <c r="O115" s="1">
        <f>IFERROR(VLOOKUP($C115,prova!$A$1:$D$250,3,FALSE),"")</f>
        <v>36534</v>
      </c>
      <c r="P115">
        <f>IFERROR(VLOOKUP($C115,prova!$A$1:$D$250,4,FALSE),"")</f>
        <v>198</v>
      </c>
    </row>
    <row r="116" spans="1:16" x14ac:dyDescent="0.3">
      <c r="A116" t="s">
        <v>501</v>
      </c>
      <c r="B116" t="s">
        <v>44</v>
      </c>
      <c r="C116" t="s">
        <v>177</v>
      </c>
      <c r="D116" t="s">
        <v>569</v>
      </c>
      <c r="E116" t="s">
        <v>14</v>
      </c>
      <c r="F116" t="s">
        <v>295</v>
      </c>
      <c r="G116" s="4">
        <v>36085</v>
      </c>
      <c r="H116">
        <v>205</v>
      </c>
      <c r="I116">
        <v>2028</v>
      </c>
      <c r="J116" t="s">
        <v>35</v>
      </c>
      <c r="N116" t="str">
        <f>IFERROR(VLOOKUP($C116,prova!$A$1:$D$250,2,FALSE),"")</f>
        <v>https://media-cdn.cortextech.io/8b9744f1-350d-400a-b644-a59b83c7e19a.png</v>
      </c>
      <c r="O116" s="1">
        <f>IFERROR(VLOOKUP($C116,prova!$A$1:$D$250,3,FALSE),"")</f>
        <v>36085</v>
      </c>
      <c r="P116">
        <f>IFERROR(VLOOKUP($C116,prova!$A$1:$D$250,4,FALSE),"")</f>
        <v>205</v>
      </c>
    </row>
    <row r="117" spans="1:16" x14ac:dyDescent="0.3">
      <c r="A117" t="s">
        <v>501</v>
      </c>
      <c r="B117" t="s">
        <v>44</v>
      </c>
      <c r="C117" t="s">
        <v>178</v>
      </c>
      <c r="D117" t="s">
        <v>461</v>
      </c>
      <c r="E117" t="s">
        <v>26</v>
      </c>
      <c r="F117" t="s">
        <v>27</v>
      </c>
      <c r="G117" s="4">
        <v>35930</v>
      </c>
      <c r="H117">
        <v>209</v>
      </c>
      <c r="I117">
        <v>2028</v>
      </c>
      <c r="J117" t="s">
        <v>35</v>
      </c>
      <c r="N117" t="str">
        <f>IFERROR(VLOOKUP($C117,prova!$A$1:$D$250,2,FALSE),"")</f>
        <v>https://static.acb.com/media/PRO/00/00/82/63/87/0000826387_lpr_transparent.webp</v>
      </c>
      <c r="O117" s="1">
        <f>IFERROR(VLOOKUP($C117,prova!$A$1:$D$250,3,FALSE),"")</f>
        <v>35930</v>
      </c>
      <c r="P117">
        <f>IFERROR(VLOOKUP($C117,prova!$A$1:$D$250,4,FALSE),"")</f>
        <v>209</v>
      </c>
    </row>
    <row r="118" spans="1:16" x14ac:dyDescent="0.3">
      <c r="A118" t="s">
        <v>501</v>
      </c>
      <c r="B118" t="s">
        <v>54</v>
      </c>
      <c r="C118" t="s">
        <v>179</v>
      </c>
      <c r="D118" t="s">
        <v>512</v>
      </c>
      <c r="E118" t="s">
        <v>78</v>
      </c>
      <c r="F118" t="s">
        <v>270</v>
      </c>
      <c r="G118" s="4">
        <v>36798</v>
      </c>
      <c r="H118">
        <v>211</v>
      </c>
      <c r="I118">
        <v>2027</v>
      </c>
      <c r="J118" t="s">
        <v>35</v>
      </c>
      <c r="N118" t="str">
        <f>IFERROR(VLOOKUP($C118,prova!$A$1:$D$250,2,FALSE),"")</f>
        <v>http://assets.fiba.basketball/image/upload/w_2000/f_auto/q_auto/v1731335669/ixnotudf6nlodgl1l3c5.png</v>
      </c>
      <c r="O118" s="1">
        <f>IFERROR(VLOOKUP($C118,prova!$A$1:$D$250,3,FALSE),"")</f>
        <v>36798</v>
      </c>
      <c r="P118">
        <f>IFERROR(VLOOKUP($C118,prova!$A$1:$D$250,4,FALSE),"")</f>
        <v>211</v>
      </c>
    </row>
    <row r="119" spans="1:16" x14ac:dyDescent="0.3">
      <c r="A119" t="s">
        <v>501</v>
      </c>
      <c r="B119" t="s">
        <v>54</v>
      </c>
      <c r="C119" t="s">
        <v>180</v>
      </c>
      <c r="D119" t="s">
        <v>462</v>
      </c>
      <c r="E119" t="s">
        <v>26</v>
      </c>
      <c r="F119" t="s">
        <v>27</v>
      </c>
      <c r="G119" s="4">
        <v>33872</v>
      </c>
      <c r="H119">
        <v>208</v>
      </c>
      <c r="I119">
        <v>2028</v>
      </c>
      <c r="J119" t="s">
        <v>16</v>
      </c>
      <c r="N119" t="str">
        <f>IFERROR(VLOOKUP($C119,prova!$A$1:$D$250,2,FALSE),"")</f>
        <v>https://static.acb.com/media/PRO/00/00/85/87/20/0000858720_lpr_transparent.webp</v>
      </c>
      <c r="O119" s="1">
        <f>IFERROR(VLOOKUP($C119,prova!$A$1:$D$250,3,FALSE),"")</f>
        <v>33872</v>
      </c>
      <c r="P119">
        <f>IFERROR(VLOOKUP($C119,prova!$A$1:$D$250,4,FALSE),"")</f>
        <v>208</v>
      </c>
    </row>
    <row r="120" spans="1:16" x14ac:dyDescent="0.3">
      <c r="A120" t="s">
        <v>502</v>
      </c>
      <c r="B120" t="s">
        <v>11</v>
      </c>
      <c r="C120" t="s">
        <v>181</v>
      </c>
      <c r="D120" t="s">
        <v>463</v>
      </c>
      <c r="E120" t="s">
        <v>14</v>
      </c>
      <c r="F120" t="s">
        <v>278</v>
      </c>
      <c r="G120" s="4">
        <v>34500</v>
      </c>
      <c r="H120">
        <v>195</v>
      </c>
      <c r="I120">
        <v>2027</v>
      </c>
      <c r="J120" t="s">
        <v>30</v>
      </c>
      <c r="N120" t="str">
        <f>IFERROR(VLOOKUP($C120,prova!$A$1:$D$250,2,FALSE),"")</f>
        <v>https://static.acb.com/media/PRO/00/00/83/24/39/0000832439_lpr_transparent.webp</v>
      </c>
      <c r="O120" s="1">
        <f>IFERROR(VLOOKUP($C120,prova!$A$1:$D$250,3,FALSE),"")</f>
        <v>34500</v>
      </c>
      <c r="P120">
        <f>IFERROR(VLOOKUP($C120,prova!$A$1:$D$250,4,FALSE),"")</f>
        <v>195</v>
      </c>
    </row>
    <row r="121" spans="1:16" x14ac:dyDescent="0.3">
      <c r="A121" t="s">
        <v>502</v>
      </c>
      <c r="B121" t="s">
        <v>11</v>
      </c>
      <c r="C121" t="s">
        <v>182</v>
      </c>
      <c r="D121" t="s">
        <v>593</v>
      </c>
      <c r="E121" t="s">
        <v>49</v>
      </c>
      <c r="F121" t="s">
        <v>50</v>
      </c>
      <c r="G121" s="4">
        <v>36430</v>
      </c>
      <c r="H121">
        <v>190</v>
      </c>
      <c r="I121">
        <v>2027</v>
      </c>
      <c r="J121" t="s">
        <v>35</v>
      </c>
      <c r="N121" t="str">
        <f>IFERROR(VLOOKUP($C121,prova!$A$1:$D$250,2,FALSE),"")</f>
        <v>https://www.proballers.com/media/cache/headshot_600/player/headshot/189276.png</v>
      </c>
      <c r="O121" s="1">
        <f>IFERROR(VLOOKUP($C121,prova!$A$1:$D$250,3,FALSE),"")</f>
        <v>36430</v>
      </c>
      <c r="P121">
        <f>IFERROR(VLOOKUP($C121,prova!$A$1:$D$250,4,FALSE),"")</f>
        <v>190</v>
      </c>
    </row>
    <row r="122" spans="1:16" x14ac:dyDescent="0.3">
      <c r="A122" t="s">
        <v>502</v>
      </c>
      <c r="B122" t="s">
        <v>11</v>
      </c>
      <c r="C122" t="s">
        <v>183</v>
      </c>
      <c r="D122" t="s">
        <v>464</v>
      </c>
      <c r="E122" t="s">
        <v>26</v>
      </c>
      <c r="F122" t="s">
        <v>27</v>
      </c>
      <c r="G122" s="4">
        <v>33467</v>
      </c>
      <c r="H122">
        <v>186</v>
      </c>
      <c r="I122">
        <v>2027</v>
      </c>
      <c r="J122" t="s">
        <v>30</v>
      </c>
      <c r="N122" t="str">
        <f>IFERROR(VLOOKUP($C122,prova!$A$1:$D$250,2,FALSE),"")</f>
        <v>https://static.acb.com/media/PRO/00/00/83/24/88/0000832488_lpr_transparent.webp</v>
      </c>
      <c r="O122" s="1">
        <f>IFERROR(VLOOKUP($C122,prova!$A$1:$D$250,3,FALSE),"")</f>
        <v>33467</v>
      </c>
      <c r="P122">
        <f>IFERROR(VLOOKUP($C122,prova!$A$1:$D$250,4,FALSE),"")</f>
        <v>186</v>
      </c>
    </row>
    <row r="123" spans="1:16" x14ac:dyDescent="0.3">
      <c r="A123" t="s">
        <v>502</v>
      </c>
      <c r="B123" t="s">
        <v>23</v>
      </c>
      <c r="C123" t="s">
        <v>184</v>
      </c>
      <c r="D123" t="s">
        <v>465</v>
      </c>
      <c r="E123" t="s">
        <v>26</v>
      </c>
      <c r="F123" t="s">
        <v>27</v>
      </c>
      <c r="G123" s="4">
        <v>35210</v>
      </c>
      <c r="H123">
        <v>191</v>
      </c>
      <c r="I123">
        <v>2027</v>
      </c>
      <c r="J123" t="s">
        <v>30</v>
      </c>
      <c r="N123" t="str">
        <f>IFERROR(VLOOKUP($C123,prova!$A$1:$D$250,2,FALSE),"")</f>
        <v>https://static.acb.com/media/PRO/00/00/83/25/09/0000832509_lpr_transparent.webp</v>
      </c>
      <c r="O123" s="1">
        <f>IFERROR(VLOOKUP($C123,prova!$A$1:$D$250,3,FALSE),"")</f>
        <v>35210</v>
      </c>
      <c r="P123">
        <f>IFERROR(VLOOKUP($C123,prova!$A$1:$D$250,4,FALSE),"")</f>
        <v>191</v>
      </c>
    </row>
    <row r="124" spans="1:16" x14ac:dyDescent="0.3">
      <c r="A124" t="s">
        <v>502</v>
      </c>
      <c r="B124" t="s">
        <v>23</v>
      </c>
      <c r="C124" t="s">
        <v>185</v>
      </c>
      <c r="D124" t="s">
        <v>522</v>
      </c>
      <c r="E124" t="s">
        <v>26</v>
      </c>
      <c r="F124" t="s">
        <v>27</v>
      </c>
      <c r="G124" s="4">
        <v>36744</v>
      </c>
      <c r="H124">
        <v>192</v>
      </c>
      <c r="I124">
        <v>2027</v>
      </c>
      <c r="J124" t="s">
        <v>35</v>
      </c>
      <c r="N124" t="str">
        <f>IFERROR(VLOOKUP($C124,prova!$A$1:$D$250,2,FALSE),"")</f>
        <v>https://imagenes.feb.es/Foto.aspx?c=1702420</v>
      </c>
      <c r="O124" s="1">
        <f>IFERROR(VLOOKUP($C124,prova!$A$1:$D$250,3,FALSE),"")</f>
        <v>36744</v>
      </c>
      <c r="P124">
        <f>IFERROR(VLOOKUP($C124,prova!$A$1:$D$250,4,FALSE),"")</f>
        <v>192</v>
      </c>
    </row>
    <row r="125" spans="1:16" x14ac:dyDescent="0.3">
      <c r="A125" t="s">
        <v>502</v>
      </c>
      <c r="B125" t="s">
        <v>36</v>
      </c>
      <c r="C125" t="s">
        <v>186</v>
      </c>
      <c r="D125" t="s">
        <v>512</v>
      </c>
      <c r="E125" t="s">
        <v>49</v>
      </c>
      <c r="F125" t="s">
        <v>50</v>
      </c>
      <c r="G125" s="4">
        <v>36061</v>
      </c>
      <c r="H125">
        <v>196</v>
      </c>
      <c r="I125">
        <v>2027</v>
      </c>
      <c r="J125" t="s">
        <v>35</v>
      </c>
      <c r="N125" t="str">
        <f>IFERROR(VLOOKUP($C125,prova!$A$1:$D$250,2,FALSE),"")</f>
        <v>http://assets.fiba.basketball/image/upload/w_2000/f_auto/q_auto/v1731335669/ixnotudf6nlodgl1l3c5.png</v>
      </c>
      <c r="O125" s="1">
        <f>IFERROR(VLOOKUP($C125,prova!$A$1:$D$250,3,FALSE),"")</f>
        <v>36061</v>
      </c>
      <c r="P125">
        <f>IFERROR(VLOOKUP($C125,prova!$A$1:$D$250,4,FALSE),"")</f>
        <v>196</v>
      </c>
    </row>
    <row r="126" spans="1:16" x14ac:dyDescent="0.3">
      <c r="A126" t="s">
        <v>502</v>
      </c>
      <c r="B126" t="s">
        <v>36</v>
      </c>
      <c r="C126" t="s">
        <v>187</v>
      </c>
      <c r="D126" t="s">
        <v>466</v>
      </c>
      <c r="E126" t="s">
        <v>14</v>
      </c>
      <c r="F126" t="s">
        <v>296</v>
      </c>
      <c r="G126" s="4">
        <v>35819</v>
      </c>
      <c r="H126">
        <v>195</v>
      </c>
      <c r="I126">
        <v>2027</v>
      </c>
      <c r="J126" t="s">
        <v>30</v>
      </c>
      <c r="N126" t="str">
        <f>IFERROR(VLOOKUP($C126,prova!$A$1:$D$250,2,FALSE),"")</f>
        <v>https://static.acb.com/media/PRO/00/00/83/23/18/0000832318_lpr_transparent.webp</v>
      </c>
      <c r="O126" s="1">
        <f>IFERROR(VLOOKUP($C126,prova!$A$1:$D$250,3,FALSE),"")</f>
        <v>35819</v>
      </c>
      <c r="P126">
        <f>IFERROR(VLOOKUP($C126,prova!$A$1:$D$250,4,FALSE),"")</f>
        <v>195</v>
      </c>
    </row>
    <row r="127" spans="1:16" x14ac:dyDescent="0.3">
      <c r="A127" t="s">
        <v>502</v>
      </c>
      <c r="B127" t="s">
        <v>36</v>
      </c>
      <c r="C127" t="s">
        <v>188</v>
      </c>
      <c r="D127" t="s">
        <v>523</v>
      </c>
      <c r="E127" t="s">
        <v>26</v>
      </c>
      <c r="F127" t="s">
        <v>27</v>
      </c>
      <c r="G127" s="4">
        <v>34570</v>
      </c>
      <c r="H127">
        <v>202</v>
      </c>
      <c r="I127">
        <v>2027</v>
      </c>
      <c r="J127" t="s">
        <v>35</v>
      </c>
      <c r="N127" t="str">
        <f>IFERROR(VLOOKUP($C127,prova!$A$1:$D$250,2,FALSE),"")</f>
        <v>https://imagenes.feb.es/Foto.aspx?c=1715117</v>
      </c>
      <c r="O127" s="1">
        <f>IFERROR(VLOOKUP($C127,prova!$A$1:$D$250,3,FALSE),"")</f>
        <v>34570</v>
      </c>
      <c r="P127">
        <f>IFERROR(VLOOKUP($C127,prova!$A$1:$D$250,4,FALSE),"")</f>
        <v>202</v>
      </c>
    </row>
    <row r="128" spans="1:16" x14ac:dyDescent="0.3">
      <c r="A128" t="s">
        <v>502</v>
      </c>
      <c r="B128" t="s">
        <v>44</v>
      </c>
      <c r="C128" t="s">
        <v>189</v>
      </c>
      <c r="D128" t="s">
        <v>546</v>
      </c>
      <c r="E128" t="s">
        <v>78</v>
      </c>
      <c r="F128" t="s">
        <v>19</v>
      </c>
      <c r="G128" s="4">
        <v>36761</v>
      </c>
      <c r="H128">
        <v>200.99999999999997</v>
      </c>
      <c r="I128">
        <v>2027</v>
      </c>
      <c r="J128" t="s">
        <v>35</v>
      </c>
      <c r="N128" t="str">
        <f>IFERROR(VLOOKUP($C128,prova!$A$1:$D$250,2,FALSE),"")</f>
        <v>https://cdn.nba.com/headshots/nba/latest/1040x760/1643158.png</v>
      </c>
      <c r="O128" s="1">
        <f>IFERROR(VLOOKUP($C128,prova!$A$1:$D$250,3,FALSE),"")</f>
        <v>36761</v>
      </c>
      <c r="P128">
        <f>IFERROR(VLOOKUP($C128,prova!$A$1:$D$250,4,FALSE),"")</f>
        <v>200.99999999999997</v>
      </c>
    </row>
    <row r="129" spans="1:16" x14ac:dyDescent="0.3">
      <c r="A129" t="s">
        <v>502</v>
      </c>
      <c r="B129" t="s">
        <v>44</v>
      </c>
      <c r="C129" t="s">
        <v>190</v>
      </c>
      <c r="D129" t="s">
        <v>467</v>
      </c>
      <c r="E129" t="s">
        <v>14</v>
      </c>
      <c r="F129" t="s">
        <v>296</v>
      </c>
      <c r="G129" s="4">
        <v>34338</v>
      </c>
      <c r="H129">
        <v>200.99999999999997</v>
      </c>
      <c r="I129">
        <v>2027</v>
      </c>
      <c r="J129" t="s">
        <v>30</v>
      </c>
      <c r="N129" t="str">
        <f>IFERROR(VLOOKUP($C129,prova!$A$1:$D$250,2,FALSE),"")</f>
        <v>https://static.acb.com/media/PRO/00/00/83/60/87/0000836087_lpr_transparent.webp</v>
      </c>
      <c r="O129" s="1">
        <f>IFERROR(VLOOKUP($C129,prova!$A$1:$D$250,3,FALSE),"")</f>
        <v>34338</v>
      </c>
      <c r="P129">
        <f>IFERROR(VLOOKUP($C129,prova!$A$1:$D$250,4,FALSE),"")</f>
        <v>200.99999999999997</v>
      </c>
    </row>
    <row r="130" spans="1:16" x14ac:dyDescent="0.3">
      <c r="A130" t="s">
        <v>502</v>
      </c>
      <c r="B130" t="s">
        <v>44</v>
      </c>
      <c r="C130" t="s">
        <v>191</v>
      </c>
      <c r="D130" t="s">
        <v>512</v>
      </c>
      <c r="E130" t="s">
        <v>14</v>
      </c>
      <c r="F130" t="s">
        <v>297</v>
      </c>
      <c r="G130" s="4">
        <v>35325</v>
      </c>
      <c r="H130">
        <v>204</v>
      </c>
      <c r="I130">
        <v>2027</v>
      </c>
      <c r="J130" t="s">
        <v>35</v>
      </c>
      <c r="N130" t="str">
        <f>IFERROR(VLOOKUP($C130,prova!$A$1:$D$250,2,FALSE),"")</f>
        <v>http://assets.fiba.basketball/image/upload/w_2000/f_auto/q_auto/v1731335669/ixnotudf6nlodgl1l3c5.png</v>
      </c>
      <c r="O130" s="1">
        <f>IFERROR(VLOOKUP($C130,prova!$A$1:$D$250,3,FALSE),"")</f>
        <v>35325</v>
      </c>
      <c r="P130">
        <f>IFERROR(VLOOKUP($C130,prova!$A$1:$D$250,4,FALSE),"")</f>
        <v>204</v>
      </c>
    </row>
    <row r="131" spans="1:16" x14ac:dyDescent="0.3">
      <c r="A131" t="s">
        <v>502</v>
      </c>
      <c r="B131" t="s">
        <v>54</v>
      </c>
      <c r="C131" t="s">
        <v>192</v>
      </c>
      <c r="D131" t="s">
        <v>468</v>
      </c>
      <c r="E131" t="s">
        <v>14</v>
      </c>
      <c r="F131" t="s">
        <v>278</v>
      </c>
      <c r="G131" s="4">
        <v>36835</v>
      </c>
      <c r="H131">
        <v>217</v>
      </c>
      <c r="I131">
        <v>2027</v>
      </c>
      <c r="J131" t="s">
        <v>30</v>
      </c>
      <c r="N131" t="str">
        <f>IFERROR(VLOOKUP($C131,prova!$A$1:$D$250,2,FALSE),"")</f>
        <v>https://static.acb.com/media/PRO/00/00/83/23/82/0000832382_lpr_transparent.webp</v>
      </c>
      <c r="O131" s="1">
        <f>IFERROR(VLOOKUP($C131,prova!$A$1:$D$250,3,FALSE),"")</f>
        <v>36835</v>
      </c>
      <c r="P131">
        <f>IFERROR(VLOOKUP($C131,prova!$A$1:$D$250,4,FALSE),"")</f>
        <v>217</v>
      </c>
    </row>
    <row r="132" spans="1:16" x14ac:dyDescent="0.3">
      <c r="A132" t="s">
        <v>502</v>
      </c>
      <c r="B132" t="s">
        <v>54</v>
      </c>
      <c r="C132" t="s">
        <v>193</v>
      </c>
      <c r="D132" t="s">
        <v>469</v>
      </c>
      <c r="E132" t="s">
        <v>26</v>
      </c>
      <c r="F132" t="s">
        <v>293</v>
      </c>
      <c r="G132" s="4">
        <v>35524</v>
      </c>
      <c r="H132">
        <v>206.99999999999997</v>
      </c>
      <c r="I132">
        <v>2027</v>
      </c>
      <c r="J132" t="s">
        <v>30</v>
      </c>
      <c r="N132" t="str">
        <f>IFERROR(VLOOKUP($C132,prova!$A$1:$D$250,2,FALSE),"")</f>
        <v>https://static.acb.com/media/PRO/00/00/83/25/30/0000832530_lpr_transparent.webp</v>
      </c>
      <c r="O132" s="1">
        <f>IFERROR(VLOOKUP($C132,prova!$A$1:$D$250,3,FALSE),"")</f>
        <v>35524</v>
      </c>
      <c r="P132">
        <f>IFERROR(VLOOKUP($C132,prova!$A$1:$D$250,4,FALSE),"")</f>
        <v>206.99999999999997</v>
      </c>
    </row>
    <row r="133" spans="1:16" x14ac:dyDescent="0.3">
      <c r="A133" t="s">
        <v>502</v>
      </c>
      <c r="B133" t="s">
        <v>54</v>
      </c>
      <c r="C133" t="s">
        <v>194</v>
      </c>
      <c r="D133" t="s">
        <v>524</v>
      </c>
      <c r="E133" t="s">
        <v>26</v>
      </c>
      <c r="F133" s="3" t="s">
        <v>293</v>
      </c>
      <c r="G133" s="4">
        <v>35179</v>
      </c>
      <c r="H133">
        <v>202.99999999999997</v>
      </c>
      <c r="I133">
        <v>2027</v>
      </c>
      <c r="J133" t="s">
        <v>30</v>
      </c>
      <c r="N133" t="str">
        <f>IFERROR(VLOOKUP($C133,prova!$A$1:$D$250,2,FALSE),"")</f>
        <v>https://imagenes.feb.es/Foto.aspx?c=2820727</v>
      </c>
      <c r="O133" s="1">
        <f>IFERROR(VLOOKUP($C133,prova!$A$1:$D$250,3,FALSE),"")</f>
        <v>35179</v>
      </c>
      <c r="P133">
        <f>IFERROR(VLOOKUP($C133,prova!$A$1:$D$250,4,FALSE),"")</f>
        <v>202.99999999999997</v>
      </c>
    </row>
    <row r="134" spans="1:16" x14ac:dyDescent="0.3">
      <c r="A134" t="s">
        <v>503</v>
      </c>
      <c r="B134" t="s">
        <v>11</v>
      </c>
      <c r="C134" t="s">
        <v>195</v>
      </c>
      <c r="D134" t="s">
        <v>512</v>
      </c>
      <c r="E134" t="s">
        <v>49</v>
      </c>
      <c r="F134" t="s">
        <v>50</v>
      </c>
      <c r="G134" s="4">
        <v>34628</v>
      </c>
      <c r="H134">
        <v>183</v>
      </c>
      <c r="I134">
        <v>2027</v>
      </c>
      <c r="J134" t="s">
        <v>35</v>
      </c>
      <c r="N134" t="str">
        <f>IFERROR(VLOOKUP($C134,prova!$A$1:$D$250,2,FALSE),"")</f>
        <v>http://assets.fiba.basketball/image/upload/w_2000/f_auto/q_auto/v1731335669/ixnotudf6nlodgl1l3c5.png</v>
      </c>
      <c r="O134" s="1">
        <f>IFERROR(VLOOKUP($C134,prova!$A$1:$D$250,3,FALSE),"")</f>
        <v>34628</v>
      </c>
      <c r="P134">
        <f>IFERROR(VLOOKUP($C134,prova!$A$1:$D$250,4,FALSE),"")</f>
        <v>183</v>
      </c>
    </row>
    <row r="135" spans="1:16" x14ac:dyDescent="0.3">
      <c r="A135" t="s">
        <v>503</v>
      </c>
      <c r="B135" t="s">
        <v>11</v>
      </c>
      <c r="C135" t="s">
        <v>196</v>
      </c>
      <c r="D135" t="s">
        <v>512</v>
      </c>
      <c r="E135" t="s">
        <v>26</v>
      </c>
      <c r="F135" t="s">
        <v>281</v>
      </c>
      <c r="G135" s="4">
        <v>36680</v>
      </c>
      <c r="H135">
        <v>190</v>
      </c>
      <c r="I135">
        <v>2028</v>
      </c>
      <c r="J135" t="s">
        <v>35</v>
      </c>
      <c r="N135" t="str">
        <f>IFERROR(VLOOKUP($C135,prova!$A$1:$D$250,2,FALSE),"")</f>
        <v>http://assets.fiba.basketball/image/upload/w_2000/f_auto/q_auto/v1731335669/ixnotudf6nlodgl1l3c5.png</v>
      </c>
      <c r="O135" s="1">
        <f>IFERROR(VLOOKUP($C135,prova!$A$1:$D$250,3,FALSE),"")</f>
        <v>36680</v>
      </c>
      <c r="P135">
        <f>IFERROR(VLOOKUP($C135,prova!$A$1:$D$250,4,FALSE),"")</f>
        <v>190</v>
      </c>
    </row>
    <row r="136" spans="1:16" x14ac:dyDescent="0.3">
      <c r="A136" t="s">
        <v>503</v>
      </c>
      <c r="B136" t="s">
        <v>11</v>
      </c>
      <c r="C136" t="s">
        <v>197</v>
      </c>
      <c r="D136" t="s">
        <v>525</v>
      </c>
      <c r="E136" t="s">
        <v>26</v>
      </c>
      <c r="F136" t="s">
        <v>27</v>
      </c>
      <c r="G136" s="4">
        <v>38270</v>
      </c>
      <c r="H136">
        <v>193</v>
      </c>
      <c r="I136">
        <v>2030</v>
      </c>
      <c r="J136" t="s">
        <v>35</v>
      </c>
      <c r="N136" t="str">
        <f>IFERROR(VLOOKUP($C136,prova!$A$1:$D$250,2,FALSE),"")</f>
        <v>https://imagenes.feb.es/Foto.aspx?c=1778999</v>
      </c>
      <c r="O136" s="1">
        <f>IFERROR(VLOOKUP($C136,prova!$A$1:$D$250,3,FALSE),"")</f>
        <v>38270</v>
      </c>
      <c r="P136">
        <f>IFERROR(VLOOKUP($C136,prova!$A$1:$D$250,4,FALSE),"")</f>
        <v>193</v>
      </c>
    </row>
    <row r="137" spans="1:16" x14ac:dyDescent="0.3">
      <c r="A137" t="s">
        <v>503</v>
      </c>
      <c r="B137" t="s">
        <v>23</v>
      </c>
      <c r="C137" t="s">
        <v>198</v>
      </c>
      <c r="D137" t="s">
        <v>516</v>
      </c>
      <c r="E137" t="s">
        <v>49</v>
      </c>
      <c r="F137" t="s">
        <v>50</v>
      </c>
      <c r="G137" s="4">
        <v>36166</v>
      </c>
      <c r="H137">
        <v>188</v>
      </c>
      <c r="I137">
        <v>2027</v>
      </c>
      <c r="J137" t="s">
        <v>35</v>
      </c>
      <c r="N137" t="str">
        <f>IFERROR(VLOOKUP($C137,prova!$A$1:$D$250,2,FALSE),"")</f>
        <v>https://cdn.nba.com/headshots/nba/latest/1040x760/1630644.png</v>
      </c>
      <c r="O137" s="1">
        <f>IFERROR(VLOOKUP($C137,prova!$A$1:$D$250,3,FALSE),"")</f>
        <v>36166</v>
      </c>
      <c r="P137">
        <f>IFERROR(VLOOKUP($C137,prova!$A$1:$D$250,4,FALSE),"")</f>
        <v>188</v>
      </c>
    </row>
    <row r="138" spans="1:16" x14ac:dyDescent="0.3">
      <c r="A138" t="s">
        <v>503</v>
      </c>
      <c r="B138" t="s">
        <v>23</v>
      </c>
      <c r="C138" t="s">
        <v>199</v>
      </c>
      <c r="D138" t="s">
        <v>470</v>
      </c>
      <c r="E138" t="s">
        <v>78</v>
      </c>
      <c r="F138" t="s">
        <v>19</v>
      </c>
      <c r="G138" s="4">
        <v>37146</v>
      </c>
      <c r="H138">
        <v>190</v>
      </c>
      <c r="I138" s="2" t="s">
        <v>34</v>
      </c>
      <c r="J138" t="s">
        <v>35</v>
      </c>
      <c r="N138" t="str">
        <f>IFERROR(VLOOKUP($C138,prova!$A$1:$D$250,2,FALSE),"")</f>
        <v>https://static.acb.com/media/PRO/00/00/86/62/30/0000866230_lpr_transparent.webp</v>
      </c>
      <c r="O138" s="1">
        <f>IFERROR(VLOOKUP($C138,prova!$A$1:$D$250,3,FALSE),"")</f>
        <v>37146</v>
      </c>
      <c r="P138">
        <f>IFERROR(VLOOKUP($C138,prova!$A$1:$D$250,4,FALSE),"")</f>
        <v>190</v>
      </c>
    </row>
    <row r="139" spans="1:16" x14ac:dyDescent="0.3">
      <c r="A139" t="s">
        <v>503</v>
      </c>
      <c r="B139" t="s">
        <v>36</v>
      </c>
      <c r="C139" t="s">
        <v>200</v>
      </c>
      <c r="D139" t="s">
        <v>471</v>
      </c>
      <c r="E139" t="s">
        <v>26</v>
      </c>
      <c r="F139" t="s">
        <v>27</v>
      </c>
      <c r="G139" s="4">
        <v>36221</v>
      </c>
      <c r="H139">
        <v>200.99999999999997</v>
      </c>
      <c r="I139">
        <v>2028</v>
      </c>
      <c r="J139" t="s">
        <v>16</v>
      </c>
      <c r="N139" t="str">
        <f>IFERROR(VLOOKUP($C139,prova!$A$1:$D$250,2,FALSE),"")</f>
        <v>https://static.acb.com/media/PRO/00/00/83/02/05/0000830205_lpr_transparent.webp</v>
      </c>
      <c r="O139" s="1">
        <f>IFERROR(VLOOKUP($C139,prova!$A$1:$D$250,3,FALSE),"")</f>
        <v>36221</v>
      </c>
      <c r="P139">
        <f>IFERROR(VLOOKUP($C139,prova!$A$1:$D$250,4,FALSE),"")</f>
        <v>200.99999999999997</v>
      </c>
    </row>
    <row r="140" spans="1:16" x14ac:dyDescent="0.3">
      <c r="A140" t="s">
        <v>503</v>
      </c>
      <c r="B140" t="s">
        <v>36</v>
      </c>
      <c r="C140" t="s">
        <v>201</v>
      </c>
      <c r="D140" t="s">
        <v>472</v>
      </c>
      <c r="E140" t="s">
        <v>14</v>
      </c>
      <c r="F140" t="s">
        <v>15</v>
      </c>
      <c r="G140" s="4">
        <v>35759</v>
      </c>
      <c r="H140">
        <v>198</v>
      </c>
      <c r="I140">
        <v>2027</v>
      </c>
      <c r="J140" t="s">
        <v>16</v>
      </c>
      <c r="N140" t="str">
        <f>IFERROR(VLOOKUP($C140,prova!$A$1:$D$250,2,FALSE),"")</f>
        <v>https://static.acb.com/media/PRO/00/00/83/00/93/0000830093_lpr_transparent.webp</v>
      </c>
      <c r="O140" s="1">
        <f>IFERROR(VLOOKUP($C140,prova!$A$1:$D$250,3,FALSE),"")</f>
        <v>35759</v>
      </c>
      <c r="P140">
        <f>IFERROR(VLOOKUP($C140,prova!$A$1:$D$250,4,FALSE),"")</f>
        <v>198</v>
      </c>
    </row>
    <row r="141" spans="1:16" x14ac:dyDescent="0.3">
      <c r="A141" t="s">
        <v>503</v>
      </c>
      <c r="B141" t="s">
        <v>44</v>
      </c>
      <c r="C141" t="s">
        <v>202</v>
      </c>
      <c r="D141" t="s">
        <v>473</v>
      </c>
      <c r="E141" t="s">
        <v>26</v>
      </c>
      <c r="F141" t="s">
        <v>27</v>
      </c>
      <c r="G141" s="4">
        <v>36290</v>
      </c>
      <c r="H141">
        <v>202</v>
      </c>
      <c r="I141">
        <v>2028</v>
      </c>
      <c r="J141" t="s">
        <v>16</v>
      </c>
      <c r="N141" t="str">
        <f>IFERROR(VLOOKUP($C141,prova!$A$1:$D$250,2,FALSE),"")</f>
        <v>https://static.acb.com/media/PRO/00/00/83/02/45/0000830245_lpr_transparent.webp</v>
      </c>
      <c r="O141" s="1">
        <f>IFERROR(VLOOKUP($C141,prova!$A$1:$D$250,3,FALSE),"")</f>
        <v>36290</v>
      </c>
      <c r="P141">
        <f>IFERROR(VLOOKUP($C141,prova!$A$1:$D$250,4,FALSE),"")</f>
        <v>202</v>
      </c>
    </row>
    <row r="142" spans="1:16" x14ac:dyDescent="0.3">
      <c r="A142" t="s">
        <v>503</v>
      </c>
      <c r="B142" t="s">
        <v>44</v>
      </c>
      <c r="C142" t="s">
        <v>203</v>
      </c>
      <c r="D142" t="s">
        <v>512</v>
      </c>
      <c r="E142" t="s">
        <v>14</v>
      </c>
      <c r="F142" t="s">
        <v>269</v>
      </c>
      <c r="G142" s="4">
        <v>36371</v>
      </c>
      <c r="H142">
        <v>198</v>
      </c>
      <c r="I142">
        <v>2027</v>
      </c>
      <c r="J142" t="s">
        <v>35</v>
      </c>
      <c r="N142" t="str">
        <f>IFERROR(VLOOKUP($C142,prova!$A$1:$D$250,2,FALSE),"")</f>
        <v>http://assets.fiba.basketball/image/upload/w_2000/f_auto/q_auto/v1731335669/ixnotudf6nlodgl1l3c5.png</v>
      </c>
      <c r="O142" s="1">
        <f>IFERROR(VLOOKUP($C142,prova!$A$1:$D$250,3,FALSE),"")</f>
        <v>36371</v>
      </c>
      <c r="P142">
        <f>IFERROR(VLOOKUP($C142,prova!$A$1:$D$250,4,FALSE),"")</f>
        <v>198</v>
      </c>
    </row>
    <row r="143" spans="1:16" x14ac:dyDescent="0.3">
      <c r="A143" t="s">
        <v>503</v>
      </c>
      <c r="B143" t="s">
        <v>44</v>
      </c>
      <c r="C143" t="s">
        <v>204</v>
      </c>
      <c r="D143" t="s">
        <v>512</v>
      </c>
      <c r="E143" t="s">
        <v>14</v>
      </c>
      <c r="F143" t="s">
        <v>283</v>
      </c>
      <c r="G143" s="4">
        <v>36689</v>
      </c>
      <c r="H143">
        <v>206</v>
      </c>
      <c r="I143">
        <v>2027</v>
      </c>
      <c r="J143" t="s">
        <v>35</v>
      </c>
      <c r="N143" t="str">
        <f>IFERROR(VLOOKUP($C143,prova!$A$1:$D$250,2,FALSE),"")</f>
        <v>http://assets.fiba.basketball/image/upload/w_2000/f_auto/q_auto/v1731335669/ixnotudf6nlodgl1l3c5.png</v>
      </c>
      <c r="O143" s="1">
        <f>IFERROR(VLOOKUP($C143,prova!$A$1:$D$250,3,FALSE),"")</f>
        <v>36689</v>
      </c>
      <c r="P143">
        <f>IFERROR(VLOOKUP($C143,prova!$A$1:$D$250,4,FALSE),"")</f>
        <v>206</v>
      </c>
    </row>
    <row r="144" spans="1:16" x14ac:dyDescent="0.3">
      <c r="A144" t="s">
        <v>503</v>
      </c>
      <c r="B144" t="s">
        <v>54</v>
      </c>
      <c r="C144" t="s">
        <v>205</v>
      </c>
      <c r="D144" t="s">
        <v>474</v>
      </c>
      <c r="E144" t="s">
        <v>26</v>
      </c>
      <c r="F144" t="s">
        <v>284</v>
      </c>
      <c r="G144" s="4">
        <v>36148</v>
      </c>
      <c r="H144">
        <v>206</v>
      </c>
      <c r="I144">
        <v>2027</v>
      </c>
      <c r="J144" t="s">
        <v>16</v>
      </c>
      <c r="N144" t="str">
        <f>IFERROR(VLOOKUP($C144,prova!$A$1:$D$250,2,FALSE),"")</f>
        <v>https://static.acb.com/media/PRO/00/00/83/01/41/0000830141_lpr_transparent.webp</v>
      </c>
      <c r="O144" s="1">
        <f>IFERROR(VLOOKUP($C144,prova!$A$1:$D$250,3,FALSE),"")</f>
        <v>36148</v>
      </c>
      <c r="P144">
        <f>IFERROR(VLOOKUP($C144,prova!$A$1:$D$250,4,FALSE),"")</f>
        <v>206</v>
      </c>
    </row>
    <row r="145" spans="1:16" x14ac:dyDescent="0.3">
      <c r="A145" t="s">
        <v>503</v>
      </c>
      <c r="B145" t="s">
        <v>54</v>
      </c>
      <c r="C145" t="s">
        <v>206</v>
      </c>
      <c r="D145" t="s">
        <v>475</v>
      </c>
      <c r="E145" t="s">
        <v>14</v>
      </c>
      <c r="F145" t="s">
        <v>272</v>
      </c>
      <c r="G145" s="4">
        <v>34627</v>
      </c>
      <c r="H145">
        <v>208</v>
      </c>
      <c r="I145">
        <v>2027</v>
      </c>
      <c r="J145" t="s">
        <v>30</v>
      </c>
      <c r="N145" t="str">
        <f>IFERROR(VLOOKUP($C145,prova!$A$1:$D$250,2,FALSE),"")</f>
        <v>https://static.acb.com/media/PRO/00/00/83/00/71/0000830071_lpr_transparent.webp</v>
      </c>
      <c r="O145" s="1">
        <f>IFERROR(VLOOKUP($C145,prova!$A$1:$D$250,3,FALSE),"")</f>
        <v>34627</v>
      </c>
      <c r="P145">
        <f>IFERROR(VLOOKUP($C145,prova!$A$1:$D$250,4,FALSE),"")</f>
        <v>208</v>
      </c>
    </row>
    <row r="146" spans="1:16" x14ac:dyDescent="0.3">
      <c r="A146" t="s">
        <v>504</v>
      </c>
      <c r="B146" t="s">
        <v>11</v>
      </c>
      <c r="C146" t="s">
        <v>207</v>
      </c>
      <c r="D146" t="s">
        <v>572</v>
      </c>
      <c r="E146" t="s">
        <v>49</v>
      </c>
      <c r="F146" t="s">
        <v>50</v>
      </c>
      <c r="G146" s="4">
        <v>37166</v>
      </c>
      <c r="H146">
        <v>188</v>
      </c>
      <c r="I146">
        <v>2027</v>
      </c>
      <c r="J146" t="s">
        <v>35</v>
      </c>
      <c r="N146" t="str">
        <f>IFERROR(VLOOKUP($C146,prova!$A$1:$D$250,2,FALSE),"")</f>
        <v>https://media-cdn.cortextech.io/8163227a-e1a5-4219-907b-196214ad7637.png</v>
      </c>
      <c r="O146" s="1">
        <f>IFERROR(VLOOKUP($C146,prova!$A$1:$D$250,3,FALSE),"")</f>
        <v>37166</v>
      </c>
      <c r="P146">
        <f>IFERROR(VLOOKUP($C146,prova!$A$1:$D$250,4,FALSE),"")</f>
        <v>188</v>
      </c>
    </row>
    <row r="147" spans="1:16" x14ac:dyDescent="0.3">
      <c r="A147" t="s">
        <v>504</v>
      </c>
      <c r="B147" t="s">
        <v>11</v>
      </c>
      <c r="C147" t="s">
        <v>208</v>
      </c>
      <c r="D147" t="s">
        <v>476</v>
      </c>
      <c r="E147" t="s">
        <v>26</v>
      </c>
      <c r="F147" t="s">
        <v>269</v>
      </c>
      <c r="G147" s="4">
        <v>36917</v>
      </c>
      <c r="H147">
        <v>197</v>
      </c>
      <c r="I147">
        <v>2027</v>
      </c>
      <c r="J147" t="s">
        <v>35</v>
      </c>
      <c r="N147" t="str">
        <f>IFERROR(VLOOKUP($C147,prova!$A$1:$D$250,2,FALSE),"")</f>
        <v>https://static.acb.com/media/PRO/00/00/82/66/73/0000826673_lpr_transparent.webp</v>
      </c>
      <c r="O147" s="1">
        <f>IFERROR(VLOOKUP($C147,prova!$A$1:$D$250,3,FALSE),"")</f>
        <v>36917</v>
      </c>
      <c r="P147">
        <f>IFERROR(VLOOKUP($C147,prova!$A$1:$D$250,4,FALSE),"")</f>
        <v>197</v>
      </c>
    </row>
    <row r="148" spans="1:16" x14ac:dyDescent="0.3">
      <c r="A148" t="s">
        <v>504</v>
      </c>
      <c r="B148" t="s">
        <v>23</v>
      </c>
      <c r="C148" t="s">
        <v>209</v>
      </c>
      <c r="D148" t="s">
        <v>477</v>
      </c>
      <c r="E148" t="s">
        <v>14</v>
      </c>
      <c r="F148" t="s">
        <v>298</v>
      </c>
      <c r="G148" s="4">
        <v>34156</v>
      </c>
      <c r="H148">
        <v>191</v>
      </c>
      <c r="I148">
        <v>2027</v>
      </c>
      <c r="J148" t="s">
        <v>35</v>
      </c>
      <c r="N148" t="str">
        <f>IFERROR(VLOOKUP($C148,prova!$A$1:$D$250,2,FALSE),"")</f>
        <v>https://static.acb.com/media/PRO/00/00/82/75/63/0000827563_lpr_transparent.webp</v>
      </c>
      <c r="O148" s="1">
        <f>IFERROR(VLOOKUP($C148,prova!$A$1:$D$250,3,FALSE),"")</f>
        <v>34156</v>
      </c>
      <c r="P148">
        <f>IFERROR(VLOOKUP($C148,prova!$A$1:$D$250,4,FALSE),"")</f>
        <v>191</v>
      </c>
    </row>
    <row r="149" spans="1:16" x14ac:dyDescent="0.3">
      <c r="A149" t="s">
        <v>504</v>
      </c>
      <c r="B149" t="s">
        <v>23</v>
      </c>
      <c r="C149" t="s">
        <v>210</v>
      </c>
      <c r="D149" t="s">
        <v>478</v>
      </c>
      <c r="E149" t="s">
        <v>78</v>
      </c>
      <c r="F149" t="s">
        <v>50</v>
      </c>
      <c r="G149" s="4">
        <v>36340</v>
      </c>
      <c r="H149">
        <v>193</v>
      </c>
      <c r="I149">
        <v>2027</v>
      </c>
      <c r="J149" t="s">
        <v>35</v>
      </c>
      <c r="N149" t="str">
        <f>IFERROR(VLOOKUP($C149,prova!$A$1:$D$250,2,FALSE),"")</f>
        <v>https://static.acb.com/media/PRO/00/00/86/18/52/0000861852_lpr_transparent.webp</v>
      </c>
      <c r="O149" s="1">
        <f>IFERROR(VLOOKUP($C149,prova!$A$1:$D$250,3,FALSE),"")</f>
        <v>36340</v>
      </c>
      <c r="P149">
        <f>IFERROR(VLOOKUP($C149,prova!$A$1:$D$250,4,FALSE),"")</f>
        <v>193</v>
      </c>
    </row>
    <row r="150" spans="1:16" x14ac:dyDescent="0.3">
      <c r="A150" t="s">
        <v>504</v>
      </c>
      <c r="B150" t="s">
        <v>23</v>
      </c>
      <c r="C150" t="s">
        <v>211</v>
      </c>
      <c r="D150" t="s">
        <v>526</v>
      </c>
      <c r="E150" t="s">
        <v>26</v>
      </c>
      <c r="F150" t="s">
        <v>27</v>
      </c>
      <c r="G150" s="4">
        <v>36859</v>
      </c>
      <c r="H150">
        <v>190</v>
      </c>
      <c r="I150">
        <v>2027</v>
      </c>
      <c r="J150" t="s">
        <v>35</v>
      </c>
      <c r="N150" t="str">
        <f>IFERROR(VLOOKUP($C150,prova!$A$1:$D$250,2,FALSE),"")</f>
        <v>https://imagenes.feb.es/Foto.aspx?c=1978545</v>
      </c>
      <c r="O150" s="1">
        <f>IFERROR(VLOOKUP($C150,prova!$A$1:$D$250,3,FALSE),"")</f>
        <v>36859</v>
      </c>
      <c r="P150">
        <f>IFERROR(VLOOKUP($C150,prova!$A$1:$D$250,4,FALSE),"")</f>
        <v>190</v>
      </c>
    </row>
    <row r="151" spans="1:16" x14ac:dyDescent="0.3">
      <c r="A151" t="s">
        <v>504</v>
      </c>
      <c r="B151" t="s">
        <v>36</v>
      </c>
      <c r="C151" t="s">
        <v>212</v>
      </c>
      <c r="D151" t="s">
        <v>594</v>
      </c>
      <c r="E151" t="s">
        <v>14</v>
      </c>
      <c r="F151" t="s">
        <v>296</v>
      </c>
      <c r="G151" s="4">
        <v>37198</v>
      </c>
      <c r="H151">
        <v>201</v>
      </c>
      <c r="I151">
        <v>2027</v>
      </c>
      <c r="J151" t="s">
        <v>35</v>
      </c>
      <c r="N151" t="str">
        <f>IFERROR(VLOOKUP($C151,prova!$A$1:$D$250,2,FALSE),"")</f>
        <v>https://www.proballers.com/media/cache/headshot_600/player/headshot/181341.png</v>
      </c>
      <c r="O151" s="1">
        <f>IFERROR(VLOOKUP($C151,prova!$A$1:$D$250,3,FALSE),"")</f>
        <v>37198</v>
      </c>
      <c r="P151">
        <f>IFERROR(VLOOKUP($C151,prova!$A$1:$D$250,4,FALSE),"")</f>
        <v>201</v>
      </c>
    </row>
    <row r="152" spans="1:16" x14ac:dyDescent="0.3">
      <c r="A152" t="s">
        <v>504</v>
      </c>
      <c r="B152" t="s">
        <v>36</v>
      </c>
      <c r="C152" t="s">
        <v>213</v>
      </c>
      <c r="D152" t="s">
        <v>479</v>
      </c>
      <c r="E152" t="s">
        <v>26</v>
      </c>
      <c r="F152" t="s">
        <v>27</v>
      </c>
      <c r="G152" s="4">
        <v>34066</v>
      </c>
      <c r="H152">
        <v>200.99999999999997</v>
      </c>
      <c r="I152">
        <v>2027</v>
      </c>
      <c r="J152" t="s">
        <v>16</v>
      </c>
      <c r="N152" t="str">
        <f>IFERROR(VLOOKUP($C152,prova!$A$1:$D$250,2,FALSE),"")</f>
        <v>https://static.acb.com/media/PRO/00/00/83/26/38/0000832638_lpr_transparent.webp</v>
      </c>
      <c r="O152" s="1">
        <f>IFERROR(VLOOKUP($C152,prova!$A$1:$D$250,3,FALSE),"")</f>
        <v>34066</v>
      </c>
      <c r="P152">
        <f>IFERROR(VLOOKUP($C152,prova!$A$1:$D$250,4,FALSE),"")</f>
        <v>200.99999999999997</v>
      </c>
    </row>
    <row r="153" spans="1:16" x14ac:dyDescent="0.3">
      <c r="A153" t="s">
        <v>504</v>
      </c>
      <c r="B153" t="s">
        <v>36</v>
      </c>
      <c r="C153" t="s">
        <v>214</v>
      </c>
      <c r="D153" t="s">
        <v>480</v>
      </c>
      <c r="E153" t="s">
        <v>14</v>
      </c>
      <c r="F153" t="s">
        <v>282</v>
      </c>
      <c r="G153" s="4">
        <v>39238</v>
      </c>
      <c r="H153">
        <v>195</v>
      </c>
      <c r="I153" t="s">
        <v>34</v>
      </c>
      <c r="J153" t="s">
        <v>16</v>
      </c>
      <c r="N153" t="str">
        <f>IFERROR(VLOOKUP($C153,prova!$A$1:$D$250,2,FALSE),"")</f>
        <v>https://static.acb.com/media/PRO/00/00/85/09/88/0000850988_lpr_transparent.webp</v>
      </c>
      <c r="O153" s="1">
        <f>IFERROR(VLOOKUP($C153,prova!$A$1:$D$250,3,FALSE),"")</f>
        <v>39238</v>
      </c>
      <c r="P153">
        <f>IFERROR(VLOOKUP($C153,prova!$A$1:$D$250,4,FALSE),"")</f>
        <v>195</v>
      </c>
    </row>
    <row r="154" spans="1:16" x14ac:dyDescent="0.3">
      <c r="A154" t="s">
        <v>504</v>
      </c>
      <c r="B154" t="s">
        <v>44</v>
      </c>
      <c r="C154" t="s">
        <v>215</v>
      </c>
      <c r="D154" t="s">
        <v>519</v>
      </c>
      <c r="E154" t="s">
        <v>14</v>
      </c>
      <c r="F154" t="s">
        <v>269</v>
      </c>
      <c r="G154" s="4">
        <v>35530</v>
      </c>
      <c r="H154">
        <v>202.99999999999997</v>
      </c>
      <c r="I154">
        <v>2027</v>
      </c>
      <c r="J154" t="s">
        <v>35</v>
      </c>
      <c r="N154" t="str">
        <f>IFERROR(VLOOKUP($C154,prova!$A$1:$D$250,2,FALSE),"")</f>
        <v>https://cdn.nba.com/headshots/nba/latest/1040x760/1628427.png</v>
      </c>
      <c r="O154" s="1">
        <f>IFERROR(VLOOKUP($C154,prova!$A$1:$D$250,3,FALSE),"")</f>
        <v>35530</v>
      </c>
      <c r="P154">
        <f>IFERROR(VLOOKUP($C154,prova!$A$1:$D$250,4,FALSE),"")</f>
        <v>202.99999999999997</v>
      </c>
    </row>
    <row r="155" spans="1:16" x14ac:dyDescent="0.3">
      <c r="A155" t="s">
        <v>504</v>
      </c>
      <c r="B155" t="s">
        <v>44</v>
      </c>
      <c r="C155" t="s">
        <v>216</v>
      </c>
      <c r="D155" t="s">
        <v>573</v>
      </c>
      <c r="E155" t="s">
        <v>14</v>
      </c>
      <c r="F155" t="s">
        <v>294</v>
      </c>
      <c r="G155" s="4">
        <v>34758</v>
      </c>
      <c r="H155">
        <v>201</v>
      </c>
      <c r="I155">
        <v>2027</v>
      </c>
      <c r="J155" t="s">
        <v>35</v>
      </c>
      <c r="N155" t="str">
        <f>IFERROR(VLOOKUP($C155,prova!$A$1:$D$250,2,FALSE),"")</f>
        <v>https://media-cdn.cortextech.io/5f3afa4d-663f-463d-a1ad-c9fb05a9b2ef.png</v>
      </c>
      <c r="O155" s="1">
        <f>IFERROR(VLOOKUP($C155,prova!$A$1:$D$250,3,FALSE),"")</f>
        <v>34758</v>
      </c>
      <c r="P155">
        <f>IFERROR(VLOOKUP($C155,prova!$A$1:$D$250,4,FALSE),"")</f>
        <v>201</v>
      </c>
    </row>
    <row r="156" spans="1:16" x14ac:dyDescent="0.3">
      <c r="A156" t="s">
        <v>504</v>
      </c>
      <c r="B156" t="s">
        <v>44</v>
      </c>
      <c r="C156" t="s">
        <v>217</v>
      </c>
      <c r="D156" t="s">
        <v>481</v>
      </c>
      <c r="E156" t="s">
        <v>26</v>
      </c>
      <c r="F156" t="s">
        <v>27</v>
      </c>
      <c r="G156" s="4">
        <v>32523</v>
      </c>
      <c r="H156">
        <v>200</v>
      </c>
      <c r="I156">
        <v>2027</v>
      </c>
      <c r="J156" t="s">
        <v>30</v>
      </c>
      <c r="N156" t="str">
        <f>IFERROR(VLOOKUP($C156,prova!$A$1:$D$250,2,FALSE),"")</f>
        <v>https://static.acb.com/media/PRO/00/00/83/27/97/0000832797_lpr_transparent.webp</v>
      </c>
      <c r="O156" s="1">
        <f>IFERROR(VLOOKUP($C156,prova!$A$1:$D$250,3,FALSE),"")</f>
        <v>32523</v>
      </c>
      <c r="P156">
        <f>IFERROR(VLOOKUP($C156,prova!$A$1:$D$250,4,FALSE),"")</f>
        <v>200</v>
      </c>
    </row>
    <row r="157" spans="1:16" x14ac:dyDescent="0.3">
      <c r="A157" t="s">
        <v>504</v>
      </c>
      <c r="B157" t="s">
        <v>54</v>
      </c>
      <c r="C157" t="s">
        <v>218</v>
      </c>
      <c r="D157" t="s">
        <v>574</v>
      </c>
      <c r="E157" t="s">
        <v>14</v>
      </c>
      <c r="F157" t="s">
        <v>296</v>
      </c>
      <c r="G157" s="4">
        <v>36647</v>
      </c>
      <c r="H157">
        <v>216</v>
      </c>
      <c r="I157">
        <v>2027</v>
      </c>
      <c r="J157" t="s">
        <v>35</v>
      </c>
      <c r="N157" t="str">
        <f>IFERROR(VLOOKUP($C157,prova!$A$1:$D$250,2,FALSE),"")</f>
        <v>https://media-cdn.cortextech.io/c6a7ff2f-a4da-4ac0-9a7c-3236f143336a.png</v>
      </c>
      <c r="O157" s="1">
        <f>IFERROR(VLOOKUP($C157,prova!$A$1:$D$250,3,FALSE),"")</f>
        <v>36647</v>
      </c>
      <c r="P157">
        <f>IFERROR(VLOOKUP($C157,prova!$A$1:$D$250,4,FALSE),"")</f>
        <v>216</v>
      </c>
    </row>
    <row r="158" spans="1:16" x14ac:dyDescent="0.3">
      <c r="A158" t="s">
        <v>504</v>
      </c>
      <c r="B158" t="s">
        <v>54</v>
      </c>
      <c r="C158" t="s">
        <v>219</v>
      </c>
      <c r="D158" t="s">
        <v>482</v>
      </c>
      <c r="E158" t="s">
        <v>26</v>
      </c>
      <c r="F158" t="s">
        <v>27</v>
      </c>
      <c r="G158" s="4">
        <v>34994</v>
      </c>
      <c r="H158">
        <v>213</v>
      </c>
      <c r="I158">
        <v>2027</v>
      </c>
      <c r="J158" t="s">
        <v>35</v>
      </c>
      <c r="N158" t="str">
        <f>IFERROR(VLOOKUP($C158,prova!$A$1:$D$250,2,FALSE),"")</f>
        <v>https://static.acb.com/media/PRO/00/00/82/88/99/0000828899_lpr_transparent.webp</v>
      </c>
      <c r="O158" s="1">
        <f>IFERROR(VLOOKUP($C158,prova!$A$1:$D$250,3,FALSE),"")</f>
        <v>34994</v>
      </c>
      <c r="P158">
        <f>IFERROR(VLOOKUP($C158,prova!$A$1:$D$250,4,FALSE),"")</f>
        <v>213</v>
      </c>
    </row>
    <row r="159" spans="1:16" x14ac:dyDescent="0.3">
      <c r="A159" t="s">
        <v>505</v>
      </c>
      <c r="B159" t="s">
        <v>11</v>
      </c>
      <c r="C159" t="s">
        <v>220</v>
      </c>
      <c r="D159" t="s">
        <v>483</v>
      </c>
      <c r="E159" t="s">
        <v>78</v>
      </c>
      <c r="F159" t="s">
        <v>270</v>
      </c>
      <c r="G159" s="4">
        <v>34947</v>
      </c>
      <c r="H159">
        <v>188</v>
      </c>
      <c r="I159">
        <v>2027</v>
      </c>
      <c r="J159" t="s">
        <v>16</v>
      </c>
      <c r="N159" t="str">
        <f>IFERROR(VLOOKUP($C159,prova!$A$1:$D$250,2,FALSE),"")</f>
        <v>https://static.acb.com/media/PRO/00/00/82/62/34/0000826234_lpr_transparent.webp</v>
      </c>
      <c r="O159" s="1">
        <f>IFERROR(VLOOKUP($C159,prova!$A$1:$D$250,3,FALSE),"")</f>
        <v>34947</v>
      </c>
      <c r="P159">
        <f>IFERROR(VLOOKUP($C159,prova!$A$1:$D$250,4,FALSE),"")</f>
        <v>188</v>
      </c>
    </row>
    <row r="160" spans="1:16" x14ac:dyDescent="0.3">
      <c r="A160" t="s">
        <v>505</v>
      </c>
      <c r="B160" t="s">
        <v>11</v>
      </c>
      <c r="C160" t="s">
        <v>221</v>
      </c>
      <c r="D160" t="s">
        <v>484</v>
      </c>
      <c r="E160" t="s">
        <v>26</v>
      </c>
      <c r="F160" t="s">
        <v>27</v>
      </c>
      <c r="G160" s="4">
        <v>34136</v>
      </c>
      <c r="H160">
        <v>192</v>
      </c>
      <c r="I160">
        <v>2028</v>
      </c>
      <c r="J160" t="s">
        <v>35</v>
      </c>
      <c r="N160" t="str">
        <f>IFERROR(VLOOKUP($C160,prova!$A$1:$D$250,2,FALSE),"")</f>
        <v>https://static.acb.com/media/PRO/00/00/88/23/51/0000882351_lpr_transparent.webp</v>
      </c>
      <c r="O160" s="1">
        <f>IFERROR(VLOOKUP($C160,prova!$A$1:$D$250,3,FALSE),"")</f>
        <v>34136</v>
      </c>
      <c r="P160">
        <f>IFERROR(VLOOKUP($C160,prova!$A$1:$D$250,4,FALSE),"")</f>
        <v>192</v>
      </c>
    </row>
    <row r="161" spans="1:16" x14ac:dyDescent="0.3">
      <c r="A161" t="s">
        <v>505</v>
      </c>
      <c r="B161" t="s">
        <v>11</v>
      </c>
      <c r="C161" t="s">
        <v>222</v>
      </c>
      <c r="D161" t="s">
        <v>485</v>
      </c>
      <c r="E161" t="s">
        <v>26</v>
      </c>
      <c r="F161" t="s">
        <v>27</v>
      </c>
      <c r="G161" s="4">
        <v>35478</v>
      </c>
      <c r="H161">
        <v>193</v>
      </c>
      <c r="I161">
        <v>2027</v>
      </c>
      <c r="J161" t="s">
        <v>35</v>
      </c>
      <c r="N161" t="str">
        <f>IFERROR(VLOOKUP($C161,prova!$A$1:$D$250,2,FALSE),"")</f>
        <v>https://static.acb.com/media/PRO/00/00/84/13/33/0000841333_lpr_transparent.webp</v>
      </c>
      <c r="O161" s="1">
        <f>IFERROR(VLOOKUP($C161,prova!$A$1:$D$250,3,FALSE),"")</f>
        <v>35478</v>
      </c>
      <c r="P161">
        <f>IFERROR(VLOOKUP($C161,prova!$A$1:$D$250,4,FALSE),"")</f>
        <v>193</v>
      </c>
    </row>
    <row r="162" spans="1:16" x14ac:dyDescent="0.3">
      <c r="A162" t="s">
        <v>505</v>
      </c>
      <c r="B162" t="s">
        <v>23</v>
      </c>
      <c r="C162" t="s">
        <v>223</v>
      </c>
      <c r="D162" t="s">
        <v>486</v>
      </c>
      <c r="E162" t="s">
        <v>49</v>
      </c>
      <c r="F162" t="s">
        <v>50</v>
      </c>
      <c r="G162" s="4">
        <v>36332</v>
      </c>
      <c r="H162">
        <v>190</v>
      </c>
      <c r="I162">
        <v>2027</v>
      </c>
      <c r="J162" t="s">
        <v>35</v>
      </c>
      <c r="N162" t="str">
        <f>IFERROR(VLOOKUP($C162,prova!$A$1:$D$250,2,FALSE),"")</f>
        <v>https://static.acb.com/media/PRO/00/00/83/58/03/0000835803_lpr_transparent.webp</v>
      </c>
      <c r="O162" s="1">
        <f>IFERROR(VLOOKUP($C162,prova!$A$1:$D$250,3,FALSE),"")</f>
        <v>36332</v>
      </c>
      <c r="P162">
        <f>IFERROR(VLOOKUP($C162,prova!$A$1:$D$250,4,FALSE),"")</f>
        <v>190</v>
      </c>
    </row>
    <row r="163" spans="1:16" x14ac:dyDescent="0.3">
      <c r="A163" t="s">
        <v>505</v>
      </c>
      <c r="B163" t="s">
        <v>23</v>
      </c>
      <c r="C163" t="s">
        <v>224</v>
      </c>
      <c r="D163" t="s">
        <v>575</v>
      </c>
      <c r="E163" t="s">
        <v>49</v>
      </c>
      <c r="F163" t="s">
        <v>50</v>
      </c>
      <c r="G163" s="4">
        <v>35396</v>
      </c>
      <c r="H163">
        <v>198</v>
      </c>
      <c r="I163">
        <v>2027</v>
      </c>
      <c r="J163" t="s">
        <v>35</v>
      </c>
      <c r="N163" t="str">
        <f>IFERROR(VLOOKUP($C163,prova!$A$1:$D$250,2,FALSE),"")</f>
        <v>https://media-cdn.cortextech.io/0d3640a2-d499-462b-8d27-02fac053abfc.png</v>
      </c>
      <c r="O163" s="1">
        <f>IFERROR(VLOOKUP($C163,prova!$A$1:$D$250,3,FALSE),"")</f>
        <v>35396</v>
      </c>
      <c r="P163">
        <f>IFERROR(VLOOKUP($C163,prova!$A$1:$D$250,4,FALSE),"")</f>
        <v>198</v>
      </c>
    </row>
    <row r="164" spans="1:16" x14ac:dyDescent="0.3">
      <c r="A164" t="s">
        <v>505</v>
      </c>
      <c r="B164" t="s">
        <v>36</v>
      </c>
      <c r="C164" t="s">
        <v>225</v>
      </c>
      <c r="D164" t="s">
        <v>487</v>
      </c>
      <c r="E164" t="s">
        <v>14</v>
      </c>
      <c r="F164" t="s">
        <v>15</v>
      </c>
      <c r="G164" s="4">
        <v>34030</v>
      </c>
      <c r="H164">
        <v>204.99999999999997</v>
      </c>
      <c r="I164">
        <v>2028</v>
      </c>
      <c r="J164" t="s">
        <v>35</v>
      </c>
      <c r="N164" t="str">
        <f>IFERROR(VLOOKUP($C164,prova!$A$1:$D$250,2,FALSE),"")</f>
        <v>https://static.acb.com/media/PRO/00/00/82/66/22/0000826622_lpr_transparent.webp</v>
      </c>
      <c r="O164" s="1">
        <f>IFERROR(VLOOKUP($C164,prova!$A$1:$D$250,3,FALSE),"")</f>
        <v>34030</v>
      </c>
      <c r="P164">
        <f>IFERROR(VLOOKUP($C164,prova!$A$1:$D$250,4,FALSE),"")</f>
        <v>204.99999999999997</v>
      </c>
    </row>
    <row r="165" spans="1:16" x14ac:dyDescent="0.3">
      <c r="A165" t="s">
        <v>505</v>
      </c>
      <c r="B165" t="s">
        <v>36</v>
      </c>
      <c r="C165" t="s">
        <v>226</v>
      </c>
      <c r="D165" t="s">
        <v>488</v>
      </c>
      <c r="E165" t="s">
        <v>26</v>
      </c>
      <c r="F165" t="s">
        <v>27</v>
      </c>
      <c r="G165" s="4">
        <v>36239</v>
      </c>
      <c r="H165">
        <v>202.99999999999997</v>
      </c>
      <c r="I165">
        <v>2027</v>
      </c>
      <c r="J165" t="s">
        <v>16</v>
      </c>
      <c r="N165" t="str">
        <f>IFERROR(VLOOKUP($C165,prova!$A$1:$D$250,2,FALSE),"")</f>
        <v>https://static.acb.com/media/PRO/00/00/82/61/30/0000826130_lpr_transparent.webp</v>
      </c>
      <c r="O165" s="1">
        <f>IFERROR(VLOOKUP($C165,prova!$A$1:$D$250,3,FALSE),"")</f>
        <v>36239</v>
      </c>
      <c r="P165">
        <f>IFERROR(VLOOKUP($C165,prova!$A$1:$D$250,4,FALSE),"")</f>
        <v>202.99999999999997</v>
      </c>
    </row>
    <row r="166" spans="1:16" x14ac:dyDescent="0.3">
      <c r="A166" t="s">
        <v>505</v>
      </c>
      <c r="B166" t="s">
        <v>44</v>
      </c>
      <c r="C166" t="s">
        <v>227</v>
      </c>
      <c r="D166" t="s">
        <v>512</v>
      </c>
      <c r="E166" t="s">
        <v>14</v>
      </c>
      <c r="F166" t="s">
        <v>271</v>
      </c>
      <c r="G166" s="4">
        <v>35914</v>
      </c>
      <c r="H166">
        <v>208</v>
      </c>
      <c r="I166">
        <v>2027</v>
      </c>
      <c r="J166" t="s">
        <v>35</v>
      </c>
      <c r="N166" t="str">
        <f>IFERROR(VLOOKUP($C166,prova!$A$1:$D$250,2,FALSE),"")</f>
        <v>http://assets.fiba.basketball/image/upload/w_2000/f_auto/q_auto/v1731335669/ixnotudf6nlodgl1l3c5.png</v>
      </c>
      <c r="O166" s="1">
        <f>IFERROR(VLOOKUP($C166,prova!$A$1:$D$250,3,FALSE),"")</f>
        <v>35914</v>
      </c>
      <c r="P166">
        <f>IFERROR(VLOOKUP($C166,prova!$A$1:$D$250,4,FALSE),"")</f>
        <v>208</v>
      </c>
    </row>
    <row r="167" spans="1:16" x14ac:dyDescent="0.3">
      <c r="A167" t="s">
        <v>505</v>
      </c>
      <c r="B167" t="s">
        <v>44</v>
      </c>
      <c r="C167" t="s">
        <v>421</v>
      </c>
      <c r="D167" t="s">
        <v>489</v>
      </c>
      <c r="E167" t="s">
        <v>26</v>
      </c>
      <c r="F167" t="s">
        <v>27</v>
      </c>
      <c r="G167" s="4">
        <v>36722</v>
      </c>
      <c r="H167">
        <v>206</v>
      </c>
      <c r="I167">
        <v>2028</v>
      </c>
      <c r="J167" t="s">
        <v>16</v>
      </c>
      <c r="N167" t="str">
        <f>IFERROR(VLOOKUP($C167,prova!$A$1:$D$250,2,FALSE),"")</f>
        <v>https://static.acb.com/media/PRO/00/00/82/59/85/0000825985_lpr_transparent.webp</v>
      </c>
      <c r="O167" s="1">
        <f>IFERROR(VLOOKUP($C167,prova!$A$1:$D$250,3,FALSE),"")</f>
        <v>36722</v>
      </c>
      <c r="P167">
        <f>IFERROR(VLOOKUP($C167,prova!$A$1:$D$250,4,FALSE),"")</f>
        <v>206</v>
      </c>
    </row>
    <row r="168" spans="1:16" x14ac:dyDescent="0.3">
      <c r="A168" t="s">
        <v>505</v>
      </c>
      <c r="B168" t="s">
        <v>54</v>
      </c>
      <c r="C168" t="s">
        <v>228</v>
      </c>
      <c r="D168" t="s">
        <v>586</v>
      </c>
      <c r="E168" t="s">
        <v>14</v>
      </c>
      <c r="F168" t="s">
        <v>272</v>
      </c>
      <c r="G168" s="4">
        <v>35669</v>
      </c>
      <c r="H168">
        <v>213</v>
      </c>
      <c r="I168">
        <v>2027</v>
      </c>
      <c r="J168" t="s">
        <v>35</v>
      </c>
      <c r="N168" t="str">
        <f>IFERROR(VLOOKUP($C168,prova!$A$1:$D$250,2,FALSE),"")</f>
        <v>https://media-cdn.cortextech.io/ec9e23f4-7618-42d7-9ccd-05bb89fe2e4b.png</v>
      </c>
      <c r="O168" s="1">
        <f>IFERROR(VLOOKUP($C168,prova!$A$1:$D$250,3,FALSE),"")</f>
        <v>35669</v>
      </c>
      <c r="P168">
        <f>IFERROR(VLOOKUP($C168,prova!$A$1:$D$250,4,FALSE),"")</f>
        <v>213</v>
      </c>
    </row>
    <row r="169" spans="1:16" x14ac:dyDescent="0.3">
      <c r="A169" t="s">
        <v>505</v>
      </c>
      <c r="B169" t="s">
        <v>54</v>
      </c>
      <c r="C169" t="s">
        <v>229</v>
      </c>
      <c r="D169" t="s">
        <v>490</v>
      </c>
      <c r="E169" t="s">
        <v>14</v>
      </c>
      <c r="F169" t="s">
        <v>280</v>
      </c>
      <c r="G169" s="4">
        <v>33601</v>
      </c>
      <c r="H169">
        <v>208</v>
      </c>
      <c r="I169">
        <v>2028</v>
      </c>
      <c r="J169" t="s">
        <v>30</v>
      </c>
      <c r="N169" t="str">
        <f>IFERROR(VLOOKUP($C169,prova!$A$1:$D$250,2,FALSE),"")</f>
        <v>https://static.acb.com/media/PRO/00/00/91/75/01/0000917501_lpr_transparent.webp</v>
      </c>
      <c r="O169" s="1">
        <f>IFERROR(VLOOKUP($C169,prova!$A$1:$D$250,3,FALSE),"")</f>
        <v>33601</v>
      </c>
      <c r="P169">
        <f>IFERROR(VLOOKUP($C169,prova!$A$1:$D$250,4,FALSE),"")</f>
        <v>208</v>
      </c>
    </row>
    <row r="170" spans="1:16" x14ac:dyDescent="0.3">
      <c r="A170" t="s">
        <v>506</v>
      </c>
      <c r="B170" t="s">
        <v>11</v>
      </c>
      <c r="C170" t="s">
        <v>230</v>
      </c>
      <c r="D170" t="s">
        <v>545</v>
      </c>
      <c r="E170" t="s">
        <v>49</v>
      </c>
      <c r="F170" t="s">
        <v>50</v>
      </c>
      <c r="G170" s="4">
        <v>36857</v>
      </c>
      <c r="H170">
        <v>185</v>
      </c>
      <c r="I170">
        <v>2027</v>
      </c>
      <c r="J170" t="s">
        <v>35</v>
      </c>
      <c r="N170" t="str">
        <f>IFERROR(VLOOKUP($C170,prova!$A$1:$D$250,2,FALSE),"")</f>
        <v>https://ak-static.cms.nba.com/wp-content/uploads/headshots/gleague/1040x760/1631231.png</v>
      </c>
      <c r="O170" s="1">
        <f>IFERROR(VLOOKUP($C170,prova!$A$1:$D$250,3,FALSE),"")</f>
        <v>36857</v>
      </c>
      <c r="P170">
        <f>IFERROR(VLOOKUP($C170,prova!$A$1:$D$250,4,FALSE),"")</f>
        <v>185</v>
      </c>
    </row>
    <row r="171" spans="1:16" x14ac:dyDescent="0.3">
      <c r="A171" t="s">
        <v>506</v>
      </c>
      <c r="B171" t="s">
        <v>23</v>
      </c>
      <c r="C171" t="s">
        <v>231</v>
      </c>
      <c r="D171" t="s">
        <v>491</v>
      </c>
      <c r="E171" t="s">
        <v>78</v>
      </c>
      <c r="F171" t="s">
        <v>270</v>
      </c>
      <c r="G171" s="4">
        <v>34444</v>
      </c>
      <c r="H171">
        <v>190</v>
      </c>
      <c r="I171">
        <v>2027</v>
      </c>
      <c r="J171" t="s">
        <v>35</v>
      </c>
      <c r="N171" t="str">
        <f>IFERROR(VLOOKUP($C171,prova!$A$1:$D$250,2,FALSE),"")</f>
        <v>https://static.acb.com/media/PRO/00/00/87/73/63/0000877363_lpr_transparent.webp</v>
      </c>
      <c r="O171" s="1">
        <f>IFERROR(VLOOKUP($C171,prova!$A$1:$D$250,3,FALSE),"")</f>
        <v>34444</v>
      </c>
      <c r="P171">
        <f>IFERROR(VLOOKUP($C171,prova!$A$1:$D$250,4,FALSE),"")</f>
        <v>190</v>
      </c>
    </row>
    <row r="172" spans="1:16" x14ac:dyDescent="0.3">
      <c r="A172" t="s">
        <v>506</v>
      </c>
      <c r="B172" t="s">
        <v>23</v>
      </c>
      <c r="C172" t="s">
        <v>232</v>
      </c>
      <c r="D172" t="s">
        <v>492</v>
      </c>
      <c r="E172" t="s">
        <v>78</v>
      </c>
      <c r="F172" t="s">
        <v>270</v>
      </c>
      <c r="G172" s="4">
        <v>33848</v>
      </c>
      <c r="H172">
        <v>193</v>
      </c>
      <c r="I172">
        <v>2027</v>
      </c>
      <c r="J172" t="s">
        <v>30</v>
      </c>
      <c r="N172" t="str">
        <f>IFERROR(VLOOKUP($C172,prova!$A$1:$D$250,2,FALSE),"")</f>
        <v>https://static.acb.com/media/PRO/00/00/82/86/23/0000828623_lpr_transparent.webp</v>
      </c>
      <c r="O172" s="1">
        <f>IFERROR(VLOOKUP($C172,prova!$A$1:$D$250,3,FALSE),"")</f>
        <v>33848</v>
      </c>
      <c r="P172">
        <f>IFERROR(VLOOKUP($C172,prova!$A$1:$D$250,4,FALSE),"")</f>
        <v>193</v>
      </c>
    </row>
    <row r="173" spans="1:16" x14ac:dyDescent="0.3">
      <c r="A173" t="s">
        <v>506</v>
      </c>
      <c r="B173" t="s">
        <v>23</v>
      </c>
      <c r="C173" t="s">
        <v>233</v>
      </c>
      <c r="D173" t="s">
        <v>493</v>
      </c>
      <c r="E173" t="s">
        <v>14</v>
      </c>
      <c r="F173" t="s">
        <v>50</v>
      </c>
      <c r="G173" s="4">
        <v>32745</v>
      </c>
      <c r="H173">
        <v>193</v>
      </c>
      <c r="I173">
        <v>2027</v>
      </c>
      <c r="J173" t="s">
        <v>16</v>
      </c>
      <c r="N173" t="str">
        <f>IFERROR(VLOOKUP($C173,prova!$A$1:$D$250,2,FALSE),"")</f>
        <v>https://static.acb.com/media/PRO/00/00/82/88/02/0000828802_lpr_transparent.webp</v>
      </c>
      <c r="O173" s="1">
        <f>IFERROR(VLOOKUP($C173,prova!$A$1:$D$250,3,FALSE),"")</f>
        <v>32745</v>
      </c>
      <c r="P173">
        <f>IFERROR(VLOOKUP($C173,prova!$A$1:$D$250,4,FALSE),"")</f>
        <v>193</v>
      </c>
    </row>
    <row r="174" spans="1:16" x14ac:dyDescent="0.3">
      <c r="A174" t="s">
        <v>506</v>
      </c>
      <c r="B174" t="s">
        <v>36</v>
      </c>
      <c r="C174" t="s">
        <v>234</v>
      </c>
      <c r="D174" t="s">
        <v>541</v>
      </c>
      <c r="E174" t="s">
        <v>78</v>
      </c>
      <c r="F174" t="s">
        <v>50</v>
      </c>
      <c r="G174" s="4">
        <v>34688</v>
      </c>
      <c r="H174">
        <v>198</v>
      </c>
      <c r="I174">
        <v>2027</v>
      </c>
      <c r="J174" t="s">
        <v>35</v>
      </c>
      <c r="N174" t="str">
        <f>IFERROR(VLOOKUP($C174,prova!$A$1:$D$250,2,FALSE),"")</f>
        <v>https://cdn.nba.com/headshots/nba/latest/1040x760/1628411.png</v>
      </c>
      <c r="O174" s="1">
        <f>IFERROR(VLOOKUP($C174,prova!$A$1:$D$250,3,FALSE),"")</f>
        <v>34688</v>
      </c>
      <c r="P174">
        <f>IFERROR(VLOOKUP($C174,prova!$A$1:$D$250,4,FALSE),"")</f>
        <v>198</v>
      </c>
    </row>
    <row r="175" spans="1:16" x14ac:dyDescent="0.3">
      <c r="A175" t="s">
        <v>506</v>
      </c>
      <c r="B175" t="s">
        <v>36</v>
      </c>
      <c r="C175" t="s">
        <v>235</v>
      </c>
      <c r="D175" t="s">
        <v>494</v>
      </c>
      <c r="E175" t="s">
        <v>26</v>
      </c>
      <c r="F175" t="s">
        <v>27</v>
      </c>
      <c r="G175" s="4">
        <v>35655</v>
      </c>
      <c r="H175">
        <v>190</v>
      </c>
      <c r="I175">
        <v>2028</v>
      </c>
      <c r="J175" t="s">
        <v>30</v>
      </c>
      <c r="N175" t="str">
        <f>IFERROR(VLOOKUP($C175,prova!$A$1:$D$250,2,FALSE),"")</f>
        <v>https://static.acb.com/media/PRO/00/00/82/87/18/0000828718_lpr_transparent.webp</v>
      </c>
      <c r="O175" s="1">
        <f>IFERROR(VLOOKUP($C175,prova!$A$1:$D$250,3,FALSE),"")</f>
        <v>35655</v>
      </c>
      <c r="P175">
        <f>IFERROR(VLOOKUP($C175,prova!$A$1:$D$250,4,FALSE),"")</f>
        <v>190</v>
      </c>
    </row>
    <row r="176" spans="1:16" x14ac:dyDescent="0.3">
      <c r="A176" t="s">
        <v>506</v>
      </c>
      <c r="B176" t="s">
        <v>36</v>
      </c>
      <c r="C176" t="s">
        <v>236</v>
      </c>
      <c r="D176" t="s">
        <v>576</v>
      </c>
      <c r="E176" t="s">
        <v>26</v>
      </c>
      <c r="F176" t="s">
        <v>284</v>
      </c>
      <c r="G176" s="4">
        <v>36166</v>
      </c>
      <c r="H176">
        <v>201</v>
      </c>
      <c r="I176">
        <v>2027</v>
      </c>
      <c r="J176" t="s">
        <v>35</v>
      </c>
      <c r="N176" t="str">
        <f>IFERROR(VLOOKUP($C176,prova!$A$1:$D$250,2,FALSE),"")</f>
        <v>https://media-cdn.cortextech.io/d71392b0-1f1c-4600-a6cb-172423fbb777.png</v>
      </c>
      <c r="O176" s="1">
        <f>IFERROR(VLOOKUP($C176,prova!$A$1:$D$250,3,FALSE),"")</f>
        <v>36166</v>
      </c>
      <c r="P176">
        <f>IFERROR(VLOOKUP($C176,prova!$A$1:$D$250,4,FALSE),"")</f>
        <v>201</v>
      </c>
    </row>
    <row r="177" spans="1:16" x14ac:dyDescent="0.3">
      <c r="A177" t="s">
        <v>506</v>
      </c>
      <c r="B177" t="s">
        <v>44</v>
      </c>
      <c r="C177" t="s">
        <v>237</v>
      </c>
      <c r="D177" t="s">
        <v>543</v>
      </c>
      <c r="E177" t="s">
        <v>49</v>
      </c>
      <c r="F177" t="s">
        <v>50</v>
      </c>
      <c r="G177" s="4">
        <v>35703</v>
      </c>
      <c r="H177">
        <v>200.99999999999997</v>
      </c>
      <c r="I177">
        <v>2027</v>
      </c>
      <c r="J177" t="s">
        <v>35</v>
      </c>
      <c r="N177" t="str">
        <f>IFERROR(VLOOKUP($C177,prova!$A$1:$D$250,2,FALSE),"")</f>
        <v>https://ak-static.cms.nba.com/wp-content/uploads/headshots/gleague/1040x760/1630787.png</v>
      </c>
      <c r="O177" s="1">
        <f>IFERROR(VLOOKUP($C177,prova!$A$1:$D$250,3,FALSE),"")</f>
        <v>35703</v>
      </c>
      <c r="P177">
        <f>IFERROR(VLOOKUP($C177,prova!$A$1:$D$250,4,FALSE),"")</f>
        <v>200.99999999999997</v>
      </c>
    </row>
    <row r="178" spans="1:16" x14ac:dyDescent="0.3">
      <c r="A178" t="s">
        <v>506</v>
      </c>
      <c r="B178" t="s">
        <v>44</v>
      </c>
      <c r="C178" t="s">
        <v>238</v>
      </c>
      <c r="D178" t="s">
        <v>495</v>
      </c>
      <c r="E178" t="s">
        <v>26</v>
      </c>
      <c r="F178" t="s">
        <v>295</v>
      </c>
      <c r="G178" s="4">
        <v>37705</v>
      </c>
      <c r="H178">
        <v>202.99999999999997</v>
      </c>
      <c r="I178">
        <v>2028</v>
      </c>
      <c r="J178" t="s">
        <v>16</v>
      </c>
      <c r="N178" t="str">
        <f>IFERROR(VLOOKUP($C178,prova!$A$1:$D$250,2,FALSE),"")</f>
        <v>https://static.acb.com/media/PRO/00/00/90/38/62/0000903862_lpr_transparent.webp</v>
      </c>
      <c r="O178" s="1">
        <f>IFERROR(VLOOKUP($C178,prova!$A$1:$D$250,3,FALSE),"")</f>
        <v>37705</v>
      </c>
      <c r="P178">
        <f>IFERROR(VLOOKUP($C178,prova!$A$1:$D$250,4,FALSE),"")</f>
        <v>202.99999999999997</v>
      </c>
    </row>
    <row r="179" spans="1:16" x14ac:dyDescent="0.3">
      <c r="A179" t="s">
        <v>506</v>
      </c>
      <c r="B179" t="s">
        <v>44</v>
      </c>
      <c r="C179" t="s">
        <v>239</v>
      </c>
      <c r="D179" t="s">
        <v>590</v>
      </c>
      <c r="E179" t="s">
        <v>26</v>
      </c>
      <c r="F179" t="s">
        <v>27</v>
      </c>
      <c r="G179" s="4">
        <v>37629</v>
      </c>
      <c r="H179">
        <v>203</v>
      </c>
      <c r="I179">
        <v>2028</v>
      </c>
      <c r="J179" t="s">
        <v>35</v>
      </c>
      <c r="N179" t="str">
        <f>IFERROR(VLOOKUP($C179,prova!$A$1:$D$250,2,FALSE),"")</f>
        <v>https://highpointpanthers.com/images/2025/10/7/Owen_Aquino_Headshot_oVc3r.png?width=146</v>
      </c>
      <c r="O179" s="1">
        <f>IFERROR(VLOOKUP($C179,prova!$A$1:$D$250,3,FALSE),"")</f>
        <v>37629</v>
      </c>
      <c r="P179">
        <f>IFERROR(VLOOKUP($C179,prova!$A$1:$D$250,4,FALSE),"")</f>
        <v>203</v>
      </c>
    </row>
    <row r="180" spans="1:16" x14ac:dyDescent="0.3">
      <c r="A180" t="s">
        <v>506</v>
      </c>
      <c r="B180" t="s">
        <v>54</v>
      </c>
      <c r="C180" t="s">
        <v>240</v>
      </c>
      <c r="D180" t="s">
        <v>496</v>
      </c>
      <c r="E180" t="s">
        <v>14</v>
      </c>
      <c r="F180" t="s">
        <v>33</v>
      </c>
      <c r="G180" s="4">
        <v>33780</v>
      </c>
      <c r="H180">
        <v>219</v>
      </c>
      <c r="I180">
        <v>2027</v>
      </c>
      <c r="J180" t="s">
        <v>16</v>
      </c>
      <c r="N180" t="str">
        <f>IFERROR(VLOOKUP($C180,prova!$A$1:$D$250,2,FALSE),"")</f>
        <v>https://static.acb.com/media/PRO/00/00/82/86/83/0000828683_lpr_transparent.webp</v>
      </c>
      <c r="O180" s="1">
        <f>IFERROR(VLOOKUP($C180,prova!$A$1:$D$250,3,FALSE),"")</f>
        <v>33780</v>
      </c>
      <c r="P180">
        <f>IFERROR(VLOOKUP($C180,prova!$A$1:$D$250,4,FALSE),"")</f>
        <v>219</v>
      </c>
    </row>
    <row r="181" spans="1:16" x14ac:dyDescent="0.3">
      <c r="A181" t="s">
        <v>506</v>
      </c>
      <c r="B181" t="s">
        <v>54</v>
      </c>
      <c r="C181" t="s">
        <v>241</v>
      </c>
      <c r="D181" t="s">
        <v>587</v>
      </c>
      <c r="E181" t="s">
        <v>14</v>
      </c>
      <c r="F181" t="s">
        <v>278</v>
      </c>
      <c r="G181" s="4">
        <v>32930</v>
      </c>
      <c r="H181">
        <v>208</v>
      </c>
      <c r="I181">
        <v>2027</v>
      </c>
      <c r="J181" t="s">
        <v>35</v>
      </c>
      <c r="N181" t="str">
        <f>IFERROR(VLOOKUP($C181,prova!$A$1:$D$250,2,FALSE),"")</f>
        <v>https://media-cdn.incrowdsports.com/9951cb2d-b0cf-4ffa-8ffd-1a98b44009eb.png</v>
      </c>
      <c r="O181" s="1">
        <f>IFERROR(VLOOKUP($C181,prova!$A$1:$D$250,3,FALSE),"")</f>
        <v>32930</v>
      </c>
      <c r="P181">
        <f>IFERROR(VLOOKUP($C181,prova!$A$1:$D$250,4,FALSE),"")</f>
        <v>208</v>
      </c>
    </row>
    <row r="182" spans="1:16" x14ac:dyDescent="0.3">
      <c r="A182" t="s">
        <v>507</v>
      </c>
      <c r="B182" t="s">
        <v>11</v>
      </c>
      <c r="C182" t="s">
        <v>242</v>
      </c>
      <c r="D182" t="s">
        <v>512</v>
      </c>
      <c r="E182" t="s">
        <v>49</v>
      </c>
      <c r="F182" t="s">
        <v>50</v>
      </c>
      <c r="G182" s="4">
        <v>35673</v>
      </c>
      <c r="H182">
        <v>183</v>
      </c>
      <c r="I182">
        <v>2027</v>
      </c>
      <c r="J182" t="s">
        <v>35</v>
      </c>
      <c r="N182" t="str">
        <f>IFERROR(VLOOKUP($C182,prova!$A$1:$D$250,2,FALSE),"")</f>
        <v>http://assets.fiba.basketball/image/upload/w_2000/f_auto/q_auto/v1731335669/ixnotudf6nlodgl1l3c5.png</v>
      </c>
      <c r="O182" s="1">
        <f>IFERROR(VLOOKUP($C182,prova!$A$1:$D$250,3,FALSE),"")</f>
        <v>35673</v>
      </c>
      <c r="P182">
        <f>IFERROR(VLOOKUP($C182,prova!$A$1:$D$250,4,FALSE),"")</f>
        <v>183</v>
      </c>
    </row>
    <row r="183" spans="1:16" x14ac:dyDescent="0.3">
      <c r="A183" t="s">
        <v>507</v>
      </c>
      <c r="B183" t="s">
        <v>11</v>
      </c>
      <c r="C183" t="s">
        <v>243</v>
      </c>
      <c r="D183" t="s">
        <v>527</v>
      </c>
      <c r="E183" t="s">
        <v>26</v>
      </c>
      <c r="F183" t="s">
        <v>27</v>
      </c>
      <c r="G183" s="4">
        <v>35176</v>
      </c>
      <c r="H183">
        <v>185</v>
      </c>
      <c r="I183">
        <v>2027</v>
      </c>
      <c r="J183" t="s">
        <v>30</v>
      </c>
      <c r="N183" t="str">
        <f>IFERROR(VLOOKUP($C183,prova!$A$1:$D$250,2,FALSE),"")</f>
        <v>https://imagenes.feb.es/Foto.aspx?c=2220063</v>
      </c>
      <c r="O183" s="1">
        <f>IFERROR(VLOOKUP($C183,prova!$A$1:$D$250,3,FALSE),"")</f>
        <v>35176</v>
      </c>
      <c r="P183">
        <f>IFERROR(VLOOKUP($C183,prova!$A$1:$D$250,4,FALSE),"")</f>
        <v>185</v>
      </c>
    </row>
    <row r="184" spans="1:16" x14ac:dyDescent="0.3">
      <c r="A184" t="s">
        <v>507</v>
      </c>
      <c r="B184" t="s">
        <v>23</v>
      </c>
      <c r="C184" t="s">
        <v>244</v>
      </c>
      <c r="D184" t="s">
        <v>528</v>
      </c>
      <c r="E184" t="s">
        <v>49</v>
      </c>
      <c r="F184" t="s">
        <v>50</v>
      </c>
      <c r="G184" s="4">
        <v>36038</v>
      </c>
      <c r="H184">
        <v>188</v>
      </c>
      <c r="I184">
        <v>2027</v>
      </c>
      <c r="J184" t="s">
        <v>30</v>
      </c>
      <c r="N184" t="str">
        <f>IFERROR(VLOOKUP($C184,prova!$A$1:$D$250,2,FALSE),"")</f>
        <v>https://imagenes.feb.es/Foto.aspx?c=2640794</v>
      </c>
      <c r="O184" s="1">
        <f>IFERROR(VLOOKUP($C184,prova!$A$1:$D$250,3,FALSE),"")</f>
        <v>36038</v>
      </c>
      <c r="P184">
        <f>IFERROR(VLOOKUP($C184,prova!$A$1:$D$250,4,FALSE),"")</f>
        <v>188</v>
      </c>
    </row>
    <row r="185" spans="1:16" x14ac:dyDescent="0.3">
      <c r="A185" t="s">
        <v>507</v>
      </c>
      <c r="B185" t="s">
        <v>23</v>
      </c>
      <c r="C185" t="s">
        <v>245</v>
      </c>
      <c r="D185" t="s">
        <v>497</v>
      </c>
      <c r="E185" t="s">
        <v>78</v>
      </c>
      <c r="F185" t="s">
        <v>300</v>
      </c>
      <c r="G185" s="4">
        <v>34577</v>
      </c>
      <c r="H185">
        <v>193</v>
      </c>
      <c r="I185">
        <v>2027</v>
      </c>
      <c r="J185" t="s">
        <v>35</v>
      </c>
      <c r="N185" t="str">
        <f>IFERROR(VLOOKUP($C185,prova!$A$1:$D$250,2,FALSE),"")</f>
        <v>https://static.acb.com/media/PRO/00/00/83/38/39/0000833839_lpr_transparent.webp</v>
      </c>
      <c r="O185" s="1">
        <f>IFERROR(VLOOKUP($C185,prova!$A$1:$D$250,3,FALSE),"")</f>
        <v>34577</v>
      </c>
      <c r="P185">
        <f>IFERROR(VLOOKUP($C185,prova!$A$1:$D$250,4,FALSE),"")</f>
        <v>193</v>
      </c>
    </row>
    <row r="186" spans="1:16" x14ac:dyDescent="0.3">
      <c r="A186" t="s">
        <v>507</v>
      </c>
      <c r="B186" t="s">
        <v>23</v>
      </c>
      <c r="C186" t="s">
        <v>246</v>
      </c>
      <c r="D186" t="s">
        <v>529</v>
      </c>
      <c r="E186" t="s">
        <v>14</v>
      </c>
      <c r="F186" t="s">
        <v>277</v>
      </c>
      <c r="G186" s="4">
        <v>36485</v>
      </c>
      <c r="H186">
        <v>200</v>
      </c>
      <c r="I186">
        <v>2027</v>
      </c>
      <c r="J186" t="s">
        <v>30</v>
      </c>
      <c r="N186" t="str">
        <f>IFERROR(VLOOKUP($C186,prova!$A$1:$D$250,2,FALSE),"")</f>
        <v>https://imagenes.feb.es/Foto.aspx?c=2482605</v>
      </c>
      <c r="O186" s="1">
        <f>IFERROR(VLOOKUP($C186,prova!$A$1:$D$250,3,FALSE),"")</f>
        <v>36485</v>
      </c>
      <c r="P186">
        <f>IFERROR(VLOOKUP($C186,prova!$A$1:$D$250,4,FALSE),"")</f>
        <v>200</v>
      </c>
    </row>
    <row r="187" spans="1:16" x14ac:dyDescent="0.3">
      <c r="A187" t="s">
        <v>507</v>
      </c>
      <c r="B187" t="s">
        <v>36</v>
      </c>
      <c r="C187" t="s">
        <v>247</v>
      </c>
      <c r="D187" t="s">
        <v>498</v>
      </c>
      <c r="E187" t="s">
        <v>14</v>
      </c>
      <c r="F187" t="s">
        <v>290</v>
      </c>
      <c r="G187" s="4">
        <v>34048</v>
      </c>
      <c r="H187">
        <v>200.99999999999997</v>
      </c>
      <c r="I187">
        <v>2027</v>
      </c>
      <c r="J187" t="s">
        <v>35</v>
      </c>
      <c r="N187" t="str">
        <f>IFERROR(VLOOKUP($C187,prova!$A$1:$D$250,2,FALSE),"")</f>
        <v>https://static.acb.com/media/PRO/00/00/83/27/63/0000832763_lpr_transparent.webp</v>
      </c>
      <c r="O187" s="1">
        <f>IFERROR(VLOOKUP($C187,prova!$A$1:$D$250,3,FALSE),"")</f>
        <v>34048</v>
      </c>
      <c r="P187">
        <f>IFERROR(VLOOKUP($C187,prova!$A$1:$D$250,4,FALSE),"")</f>
        <v>200.99999999999997</v>
      </c>
    </row>
    <row r="188" spans="1:16" x14ac:dyDescent="0.3">
      <c r="A188" t="s">
        <v>507</v>
      </c>
      <c r="B188" t="s">
        <v>36</v>
      </c>
      <c r="C188" t="s">
        <v>248</v>
      </c>
      <c r="D188" t="s">
        <v>530</v>
      </c>
      <c r="E188" t="s">
        <v>14</v>
      </c>
      <c r="F188" t="s">
        <v>276</v>
      </c>
      <c r="G188" s="4">
        <v>34074</v>
      </c>
      <c r="H188">
        <v>196</v>
      </c>
      <c r="I188">
        <v>2027</v>
      </c>
      <c r="J188" t="s">
        <v>30</v>
      </c>
      <c r="N188" t="str">
        <f>IFERROR(VLOOKUP($C188,prova!$A$1:$D$250,2,FALSE),"")</f>
        <v>https://imagenes.feb.es/Foto.aspx?c=2524267</v>
      </c>
      <c r="O188" s="1">
        <f>IFERROR(VLOOKUP($C188,prova!$A$1:$D$250,3,FALSE),"")</f>
        <v>34074</v>
      </c>
      <c r="P188">
        <f>IFERROR(VLOOKUP($C188,prova!$A$1:$D$250,4,FALSE),"")</f>
        <v>196</v>
      </c>
    </row>
    <row r="189" spans="1:16" x14ac:dyDescent="0.3">
      <c r="A189" t="s">
        <v>507</v>
      </c>
      <c r="B189" t="s">
        <v>36</v>
      </c>
      <c r="C189" t="s">
        <v>249</v>
      </c>
      <c r="D189" t="s">
        <v>531</v>
      </c>
      <c r="E189" t="s">
        <v>14</v>
      </c>
      <c r="F189" t="s">
        <v>299</v>
      </c>
      <c r="G189" s="4">
        <v>35544</v>
      </c>
      <c r="H189">
        <v>198</v>
      </c>
      <c r="I189">
        <v>2027</v>
      </c>
      <c r="J189" t="s">
        <v>30</v>
      </c>
      <c r="N189" t="str">
        <f>IFERROR(VLOOKUP($C189,prova!$A$1:$D$250,2,FALSE),"")</f>
        <v>https://imagenes.feb.es/Foto.aspx?c=2528063</v>
      </c>
      <c r="O189" s="1">
        <f>IFERROR(VLOOKUP($C189,prova!$A$1:$D$250,3,FALSE),"")</f>
        <v>35544</v>
      </c>
      <c r="P189">
        <f>IFERROR(VLOOKUP($C189,prova!$A$1:$D$250,4,FALSE),"")</f>
        <v>198</v>
      </c>
    </row>
    <row r="190" spans="1:16" x14ac:dyDescent="0.3">
      <c r="A190" t="s">
        <v>507</v>
      </c>
      <c r="B190" t="s">
        <v>44</v>
      </c>
      <c r="C190" t="s">
        <v>250</v>
      </c>
      <c r="D190" t="s">
        <v>544</v>
      </c>
      <c r="E190" t="s">
        <v>78</v>
      </c>
      <c r="F190" t="s">
        <v>300</v>
      </c>
      <c r="G190" s="4">
        <v>37175</v>
      </c>
      <c r="H190">
        <v>206</v>
      </c>
      <c r="I190">
        <v>2027</v>
      </c>
      <c r="J190" t="s">
        <v>35</v>
      </c>
      <c r="N190" t="str">
        <f>IFERROR(VLOOKUP($C190,prova!$A$1:$D$250,2,FALSE),"")</f>
        <v>https://ak-static.cms.nba.com/wp-content/uploads/headshots/gleague/1040x760/1631285.png</v>
      </c>
      <c r="O190" s="1">
        <f>IFERROR(VLOOKUP($C190,prova!$A$1:$D$250,3,FALSE),"")</f>
        <v>37175</v>
      </c>
      <c r="P190">
        <f>IFERROR(VLOOKUP($C190,prova!$A$1:$D$250,4,FALSE),"")</f>
        <v>206</v>
      </c>
    </row>
    <row r="191" spans="1:16" x14ac:dyDescent="0.3">
      <c r="A191" t="s">
        <v>507</v>
      </c>
      <c r="B191" t="s">
        <v>44</v>
      </c>
      <c r="C191" t="s">
        <v>251</v>
      </c>
      <c r="D191" t="s">
        <v>532</v>
      </c>
      <c r="E191" t="s">
        <v>26</v>
      </c>
      <c r="F191" t="s">
        <v>27</v>
      </c>
      <c r="G191" s="4">
        <v>36415</v>
      </c>
      <c r="H191">
        <v>206.99999999999997</v>
      </c>
      <c r="I191">
        <v>2027</v>
      </c>
      <c r="J191" t="s">
        <v>30</v>
      </c>
      <c r="N191" t="str">
        <f>IFERROR(VLOOKUP($C191,prova!$A$1:$D$250,2,FALSE),"")</f>
        <v>https://imagenes.feb.es/Foto.aspx?c=1836771</v>
      </c>
      <c r="O191" s="1">
        <f>IFERROR(VLOOKUP($C191,prova!$A$1:$D$250,3,FALSE),"")</f>
        <v>36415</v>
      </c>
      <c r="P191">
        <f>IFERROR(VLOOKUP($C191,prova!$A$1:$D$250,4,FALSE),"")</f>
        <v>206.99999999999997</v>
      </c>
    </row>
    <row r="192" spans="1:16" x14ac:dyDescent="0.3">
      <c r="A192" t="s">
        <v>507</v>
      </c>
      <c r="B192" t="s">
        <v>54</v>
      </c>
      <c r="C192" t="s">
        <v>252</v>
      </c>
      <c r="D192" t="s">
        <v>499</v>
      </c>
      <c r="E192" t="s">
        <v>78</v>
      </c>
      <c r="F192" t="s">
        <v>19</v>
      </c>
      <c r="G192" s="4">
        <v>36555</v>
      </c>
      <c r="H192">
        <v>208</v>
      </c>
      <c r="I192">
        <v>2027</v>
      </c>
      <c r="J192" t="s">
        <v>35</v>
      </c>
      <c r="N192" t="str">
        <f>IFERROR(VLOOKUP($C192,prova!$A$1:$D$250,2,FALSE),"")</f>
        <v>https://static.acb.com/media/PRO/00/00/82/60/64/0000826064_lpr_transparent.webp</v>
      </c>
      <c r="O192" s="1">
        <f>IFERROR(VLOOKUP($C192,prova!$A$1:$D$250,3,FALSE),"")</f>
        <v>36555</v>
      </c>
      <c r="P192">
        <f>IFERROR(VLOOKUP($C192,prova!$A$1:$D$250,4,FALSE),"")</f>
        <v>208</v>
      </c>
    </row>
    <row r="193" spans="1:16" x14ac:dyDescent="0.3">
      <c r="A193" t="s">
        <v>507</v>
      </c>
      <c r="B193" t="s">
        <v>54</v>
      </c>
      <c r="C193" t="s">
        <v>253</v>
      </c>
      <c r="D193" t="s">
        <v>533</v>
      </c>
      <c r="E193" t="s">
        <v>26</v>
      </c>
      <c r="F193" t="s">
        <v>290</v>
      </c>
      <c r="G193" s="4">
        <v>35915</v>
      </c>
      <c r="H193">
        <v>218.00000000000003</v>
      </c>
      <c r="I193">
        <v>2027</v>
      </c>
      <c r="J193" t="s">
        <v>30</v>
      </c>
      <c r="N193" t="str">
        <f>IFERROR(VLOOKUP($C193,prova!$A$1:$D$250,2,FALSE),"")</f>
        <v>https://imagenes.feb.es/Foto.aspx?c=2219665</v>
      </c>
      <c r="O193" s="1">
        <f>IFERROR(VLOOKUP($C193,prova!$A$1:$D$250,3,FALSE),"")</f>
        <v>35915</v>
      </c>
      <c r="P193">
        <f>IFERROR(VLOOKUP($C193,prova!$A$1:$D$250,4,FALSE),"")</f>
        <v>218.00000000000003</v>
      </c>
    </row>
    <row r="194" spans="1:16" x14ac:dyDescent="0.3">
      <c r="A194" t="s">
        <v>507</v>
      </c>
      <c r="B194" t="s">
        <v>54</v>
      </c>
      <c r="C194" t="s">
        <v>254</v>
      </c>
      <c r="D194" t="s">
        <v>534</v>
      </c>
      <c r="E194" t="s">
        <v>26</v>
      </c>
      <c r="F194" t="s">
        <v>27</v>
      </c>
      <c r="G194" s="4">
        <v>37307</v>
      </c>
      <c r="H194">
        <v>208</v>
      </c>
      <c r="I194">
        <v>2027</v>
      </c>
      <c r="J194" t="s">
        <v>35</v>
      </c>
      <c r="N194" t="str">
        <f>IFERROR(VLOOKUP($C194,prova!$A$1:$D$250,2,FALSE),"")</f>
        <v>https://imagenes.feb.es/Foto.aspx?c=1853585</v>
      </c>
      <c r="O194" s="1">
        <f>IFERROR(VLOOKUP($C194,prova!$A$1:$D$250,3,FALSE),"")</f>
        <v>37307</v>
      </c>
      <c r="P194">
        <f>IFERROR(VLOOKUP($C194,prova!$A$1:$D$250,4,FALSE),"")</f>
        <v>208</v>
      </c>
    </row>
    <row r="195" spans="1:16" x14ac:dyDescent="0.3">
      <c r="A195" t="s">
        <v>508</v>
      </c>
      <c r="B195" t="s">
        <v>11</v>
      </c>
      <c r="C195" t="s">
        <v>255</v>
      </c>
      <c r="D195" t="s">
        <v>512</v>
      </c>
      <c r="E195" t="s">
        <v>49</v>
      </c>
      <c r="F195" t="s">
        <v>50</v>
      </c>
      <c r="G195" s="4">
        <v>36085</v>
      </c>
      <c r="H195">
        <v>190</v>
      </c>
      <c r="I195">
        <v>2027</v>
      </c>
      <c r="J195" t="s">
        <v>35</v>
      </c>
      <c r="N195" t="str">
        <f>IFERROR(VLOOKUP($C195,prova!$A$1:$D$250,2,FALSE),"")</f>
        <v>http://assets.fiba.basketball/image/upload/w_2000/f_auto/q_auto/v1731335669/ixnotudf6nlodgl1l3c5.png</v>
      </c>
      <c r="O195" s="1">
        <f>IFERROR(VLOOKUP($C195,prova!$A$1:$D$250,3,FALSE),"")</f>
        <v>36085</v>
      </c>
      <c r="P195">
        <f>IFERROR(VLOOKUP($C195,prova!$A$1:$D$250,4,FALSE),"")</f>
        <v>190</v>
      </c>
    </row>
    <row r="196" spans="1:16" x14ac:dyDescent="0.3">
      <c r="A196" t="s">
        <v>508</v>
      </c>
      <c r="B196" t="s">
        <v>11</v>
      </c>
      <c r="C196" t="s">
        <v>256</v>
      </c>
      <c r="D196" t="s">
        <v>535</v>
      </c>
      <c r="E196" t="s">
        <v>14</v>
      </c>
      <c r="F196" t="s">
        <v>290</v>
      </c>
      <c r="G196" s="4">
        <v>36213</v>
      </c>
      <c r="H196">
        <v>190</v>
      </c>
      <c r="I196">
        <v>2027</v>
      </c>
      <c r="J196" t="s">
        <v>30</v>
      </c>
      <c r="N196" t="str">
        <f>IFERROR(VLOOKUP($C196,prova!$A$1:$D$250,2,FALSE),"")</f>
        <v>https://imagenes.feb.es/Foto.aspx?c=2644143</v>
      </c>
      <c r="O196" s="1">
        <f>IFERROR(VLOOKUP($C196,prova!$A$1:$D$250,3,FALSE),"")</f>
        <v>36213</v>
      </c>
      <c r="P196">
        <f>IFERROR(VLOOKUP($C196,prova!$A$1:$D$250,4,FALSE),"")</f>
        <v>190</v>
      </c>
    </row>
    <row r="197" spans="1:16" x14ac:dyDescent="0.3">
      <c r="A197" t="s">
        <v>508</v>
      </c>
      <c r="B197" t="s">
        <v>11</v>
      </c>
      <c r="C197" t="s">
        <v>257</v>
      </c>
      <c r="D197" t="s">
        <v>536</v>
      </c>
      <c r="E197" t="s">
        <v>26</v>
      </c>
      <c r="F197" t="s">
        <v>27</v>
      </c>
      <c r="G197" s="4">
        <v>36697</v>
      </c>
      <c r="H197">
        <v>178</v>
      </c>
      <c r="I197">
        <v>2027</v>
      </c>
      <c r="J197" t="s">
        <v>30</v>
      </c>
      <c r="N197" t="str">
        <f>IFERROR(VLOOKUP($C197,prova!$A$1:$D$250,2,FALSE),"")</f>
        <v>https://imagenes.feb.es/Foto.aspx?c=2557970</v>
      </c>
      <c r="O197" s="1">
        <f>IFERROR(VLOOKUP($C197,prova!$A$1:$D$250,3,FALSE),"")</f>
        <v>36697</v>
      </c>
      <c r="P197">
        <f>IFERROR(VLOOKUP($C197,prova!$A$1:$D$250,4,FALSE),"")</f>
        <v>178</v>
      </c>
    </row>
    <row r="198" spans="1:16" x14ac:dyDescent="0.3">
      <c r="A198" t="s">
        <v>508</v>
      </c>
      <c r="B198" t="s">
        <v>23</v>
      </c>
      <c r="C198" t="s">
        <v>258</v>
      </c>
      <c r="D198" t="s">
        <v>537</v>
      </c>
      <c r="E198" t="s">
        <v>14</v>
      </c>
      <c r="F198" t="s">
        <v>50</v>
      </c>
      <c r="G198" s="4">
        <v>35267</v>
      </c>
      <c r="H198">
        <v>188</v>
      </c>
      <c r="I198">
        <v>2027</v>
      </c>
      <c r="J198" t="s">
        <v>30</v>
      </c>
      <c r="N198" t="str">
        <f>IFERROR(VLOOKUP($C198,prova!$A$1:$D$250,2,FALSE),"")</f>
        <v>https://imagenes.feb.es/Foto.aspx?c=2371535</v>
      </c>
      <c r="O198" s="1">
        <f>IFERROR(VLOOKUP($C198,prova!$A$1:$D$250,3,FALSE),"")</f>
        <v>35267</v>
      </c>
      <c r="P198">
        <f>IFERROR(VLOOKUP($C198,prova!$A$1:$D$250,4,FALSE),"")</f>
        <v>188</v>
      </c>
    </row>
    <row r="199" spans="1:16" x14ac:dyDescent="0.3">
      <c r="A199" t="s">
        <v>508</v>
      </c>
      <c r="B199" t="s">
        <v>23</v>
      </c>
      <c r="C199" t="s">
        <v>259</v>
      </c>
      <c r="D199" t="s">
        <v>512</v>
      </c>
      <c r="E199" t="s">
        <v>14</v>
      </c>
      <c r="F199" t="s">
        <v>272</v>
      </c>
      <c r="G199" s="4">
        <v>34336</v>
      </c>
      <c r="H199">
        <v>196</v>
      </c>
      <c r="I199">
        <v>2027</v>
      </c>
      <c r="J199" t="s">
        <v>35</v>
      </c>
      <c r="N199" t="str">
        <f>IFERROR(VLOOKUP($C199,prova!$A$1:$D$250,2,FALSE),"")</f>
        <v>http://assets.fiba.basketball/image/upload/w_2000/f_auto/q_auto/v1731335669/ixnotudf6nlodgl1l3c5.png</v>
      </c>
      <c r="O199" s="1">
        <f>IFERROR(VLOOKUP($C199,prova!$A$1:$D$250,3,FALSE),"")</f>
        <v>34336</v>
      </c>
      <c r="P199">
        <f>IFERROR(VLOOKUP($C199,prova!$A$1:$D$250,4,FALSE),"")</f>
        <v>196</v>
      </c>
    </row>
    <row r="200" spans="1:16" x14ac:dyDescent="0.3">
      <c r="A200" t="s">
        <v>508</v>
      </c>
      <c r="B200" t="s">
        <v>36</v>
      </c>
      <c r="C200" t="s">
        <v>260</v>
      </c>
      <c r="D200" t="s">
        <v>512</v>
      </c>
      <c r="E200" t="s">
        <v>14</v>
      </c>
      <c r="F200" t="s">
        <v>272</v>
      </c>
      <c r="G200" s="4">
        <v>36378</v>
      </c>
      <c r="H200">
        <v>199</v>
      </c>
      <c r="I200">
        <v>2027</v>
      </c>
      <c r="J200" t="s">
        <v>35</v>
      </c>
      <c r="N200" t="str">
        <f>IFERROR(VLOOKUP($C200,prova!$A$1:$D$250,2,FALSE),"")</f>
        <v>http://assets.fiba.basketball/image/upload/w_2000/f_auto/q_auto/v1731335669/ixnotudf6nlodgl1l3c5.png</v>
      </c>
      <c r="O200" s="1">
        <f>IFERROR(VLOOKUP($C200,prova!$A$1:$D$250,3,FALSE),"")</f>
        <v>36378</v>
      </c>
      <c r="P200">
        <f>IFERROR(VLOOKUP($C200,prova!$A$1:$D$250,4,FALSE),"")</f>
        <v>199</v>
      </c>
    </row>
    <row r="201" spans="1:16" x14ac:dyDescent="0.3">
      <c r="A201" t="s">
        <v>508</v>
      </c>
      <c r="B201" t="s">
        <v>36</v>
      </c>
      <c r="C201" t="s">
        <v>261</v>
      </c>
      <c r="D201" t="s">
        <v>538</v>
      </c>
      <c r="E201" t="s">
        <v>26</v>
      </c>
      <c r="F201" t="s">
        <v>27</v>
      </c>
      <c r="G201" s="4">
        <v>35626</v>
      </c>
      <c r="H201">
        <v>197</v>
      </c>
      <c r="I201">
        <v>2027</v>
      </c>
      <c r="J201" t="s">
        <v>30</v>
      </c>
      <c r="N201" t="str">
        <f>IFERROR(VLOOKUP($C201,prova!$A$1:$D$250,2,FALSE),"")</f>
        <v>https://imagenes.feb.es/Foto.aspx?c=1491674</v>
      </c>
      <c r="O201" s="1">
        <f>IFERROR(VLOOKUP($C201,prova!$A$1:$D$250,3,FALSE),"")</f>
        <v>35626</v>
      </c>
      <c r="P201">
        <f>IFERROR(VLOOKUP($C201,prova!$A$1:$D$250,4,FALSE),"")</f>
        <v>197</v>
      </c>
    </row>
    <row r="202" spans="1:16" x14ac:dyDescent="0.3">
      <c r="A202" t="s">
        <v>508</v>
      </c>
      <c r="B202" t="s">
        <v>44</v>
      </c>
      <c r="C202" t="s">
        <v>262</v>
      </c>
      <c r="D202" t="s">
        <v>511</v>
      </c>
      <c r="E202" t="s">
        <v>14</v>
      </c>
      <c r="F202" t="s">
        <v>271</v>
      </c>
      <c r="G202" s="4">
        <v>35633</v>
      </c>
      <c r="H202">
        <v>211</v>
      </c>
      <c r="I202">
        <v>2027</v>
      </c>
      <c r="J202" t="s">
        <v>35</v>
      </c>
      <c r="N202" t="str">
        <f>IFERROR(VLOOKUP($C202,prova!$A$1:$D$250,2,FALSE),"")</f>
        <v>https://static.acb.com/media/PRO/00/00/78/40/86/0000784086_lpr_transparent.webp</v>
      </c>
      <c r="O202" s="1">
        <f>IFERROR(VLOOKUP($C202,prova!$A$1:$D$250,3,FALSE),"")</f>
        <v>35633</v>
      </c>
      <c r="P202">
        <f>IFERROR(VLOOKUP($C202,prova!$A$1:$D$250,4,FALSE),"")</f>
        <v>211</v>
      </c>
    </row>
    <row r="203" spans="1:16" x14ac:dyDescent="0.3">
      <c r="A203" t="s">
        <v>508</v>
      </c>
      <c r="B203" t="s">
        <v>44</v>
      </c>
      <c r="C203" t="s">
        <v>263</v>
      </c>
      <c r="D203" t="s">
        <v>539</v>
      </c>
      <c r="E203" t="s">
        <v>26</v>
      </c>
      <c r="F203" t="s">
        <v>27</v>
      </c>
      <c r="G203" s="4">
        <v>35269</v>
      </c>
      <c r="H203">
        <v>206</v>
      </c>
      <c r="I203">
        <v>2027</v>
      </c>
      <c r="J203" t="s">
        <v>30</v>
      </c>
      <c r="N203" t="str">
        <f>IFERROR(VLOOKUP($C203,prova!$A$1:$D$250,2,FALSE),"")</f>
        <v>https://imagenes.feb.es/Foto.aspx?c=1541543</v>
      </c>
      <c r="O203" s="1">
        <f>IFERROR(VLOOKUP($C203,prova!$A$1:$D$250,3,FALSE),"")</f>
        <v>35269</v>
      </c>
      <c r="P203">
        <f>IFERROR(VLOOKUP($C203,prova!$A$1:$D$250,4,FALSE),"")</f>
        <v>206</v>
      </c>
    </row>
    <row r="204" spans="1:16" x14ac:dyDescent="0.3">
      <c r="A204" t="s">
        <v>508</v>
      </c>
      <c r="B204" t="s">
        <v>44</v>
      </c>
      <c r="C204" t="s">
        <v>264</v>
      </c>
      <c r="D204" t="s">
        <v>540</v>
      </c>
      <c r="E204" t="s">
        <v>26</v>
      </c>
      <c r="F204" t="s">
        <v>294</v>
      </c>
      <c r="G204" s="4">
        <v>36168</v>
      </c>
      <c r="H204">
        <v>202</v>
      </c>
      <c r="I204">
        <v>2027</v>
      </c>
      <c r="J204" t="s">
        <v>30</v>
      </c>
      <c r="N204" t="str">
        <f>IFERROR(VLOOKUP($C204,prova!$A$1:$D$250,2,FALSE),"")</f>
        <v>https://imagenes.feb.es/Foto.aspx?c=2843861</v>
      </c>
      <c r="O204" s="1">
        <f>IFERROR(VLOOKUP($C204,prova!$A$1:$D$250,3,FALSE),"")</f>
        <v>36168</v>
      </c>
      <c r="P204">
        <f>IFERROR(VLOOKUP($C204,prova!$A$1:$D$250,4,FALSE),"")</f>
        <v>202</v>
      </c>
    </row>
    <row r="205" spans="1:16" x14ac:dyDescent="0.3">
      <c r="A205" t="s">
        <v>508</v>
      </c>
      <c r="B205" t="s">
        <v>54</v>
      </c>
      <c r="C205" t="s">
        <v>265</v>
      </c>
      <c r="D205" t="s">
        <v>512</v>
      </c>
      <c r="E205" t="s">
        <v>49</v>
      </c>
      <c r="F205" t="s">
        <v>268</v>
      </c>
      <c r="G205" s="4">
        <v>36760</v>
      </c>
      <c r="H205">
        <v>212</v>
      </c>
      <c r="I205">
        <v>2027</v>
      </c>
      <c r="J205" t="s">
        <v>35</v>
      </c>
      <c r="N205" t="str">
        <f>IFERROR(VLOOKUP($C205,prova!$A$1:$D$250,2,FALSE),"")</f>
        <v>http://assets.fiba.basketball/image/upload/w_2000/f_auto/q_auto/v1731335669/ixnotudf6nlodgl1l3c5.png</v>
      </c>
      <c r="O205" s="1">
        <f>IFERROR(VLOOKUP($C205,prova!$A$1:$D$250,3,FALSE),"")</f>
        <v>36760</v>
      </c>
      <c r="P205">
        <f>IFERROR(VLOOKUP($C205,prova!$A$1:$D$250,4,FALSE),"")</f>
        <v>212</v>
      </c>
    </row>
    <row r="206" spans="1:16" x14ac:dyDescent="0.3">
      <c r="A206" t="s">
        <v>508</v>
      </c>
      <c r="B206" t="s">
        <v>54</v>
      </c>
      <c r="C206" t="s">
        <v>266</v>
      </c>
      <c r="D206" t="s">
        <v>577</v>
      </c>
      <c r="E206" t="s">
        <v>14</v>
      </c>
      <c r="F206" t="s">
        <v>33</v>
      </c>
      <c r="G206" s="4">
        <v>35927</v>
      </c>
      <c r="H206">
        <v>215</v>
      </c>
      <c r="I206">
        <v>2027</v>
      </c>
      <c r="J206" t="s">
        <v>35</v>
      </c>
      <c r="N206" t="str">
        <f>IFERROR(VLOOKUP($C206,prova!$A$1:$D$250,2,FALSE),"")</f>
        <v>https://media-cdn.cortextech.io/b7a5652c-08e6-4446-a8bd-3dbff1f2034d.png</v>
      </c>
      <c r="O206" s="1">
        <f>IFERROR(VLOOKUP($C206,prova!$A$1:$D$250,3,FALSE),"")</f>
        <v>35927</v>
      </c>
      <c r="P206">
        <f>IFERROR(VLOOKUP($C206,prova!$A$1:$D$250,4,FALSE),"")</f>
        <v>215</v>
      </c>
    </row>
    <row r="207" spans="1:16" x14ac:dyDescent="0.3">
      <c r="A207" t="s">
        <v>302</v>
      </c>
      <c r="B207" t="s">
        <v>11</v>
      </c>
      <c r="C207" t="s">
        <v>12</v>
      </c>
      <c r="D207" t="s">
        <v>13</v>
      </c>
      <c r="E207" t="s">
        <v>14</v>
      </c>
      <c r="F207" t="s">
        <v>15</v>
      </c>
      <c r="G207" s="1">
        <v>33320</v>
      </c>
      <c r="H207">
        <v>181</v>
      </c>
      <c r="I207">
        <v>2027</v>
      </c>
      <c r="J207" t="s">
        <v>16</v>
      </c>
      <c r="N207" t="str">
        <f>IFERROR(VLOOKUP($C207,prova!$A$1:$D$250,2,FALSE),"")</f>
        <v/>
      </c>
      <c r="O207" s="1" t="str">
        <f>IFERROR(VLOOKUP($C207,prova!$A$1:$D$250,3,FALSE),"")</f>
        <v/>
      </c>
      <c r="P207" t="str">
        <f>IFERROR(VLOOKUP($C207,prova!$A$1:$D$250,4,FALSE),"")</f>
        <v/>
      </c>
    </row>
    <row r="208" spans="1:16" x14ac:dyDescent="0.3">
      <c r="A208" t="s">
        <v>302</v>
      </c>
      <c r="B208" t="s">
        <v>11</v>
      </c>
      <c r="C208" t="s">
        <v>17</v>
      </c>
      <c r="D208" t="s">
        <v>18</v>
      </c>
      <c r="E208" t="s">
        <v>14</v>
      </c>
      <c r="F208" t="s">
        <v>19</v>
      </c>
      <c r="G208" s="1">
        <v>35626</v>
      </c>
      <c r="H208">
        <v>188</v>
      </c>
      <c r="I208">
        <v>2027</v>
      </c>
      <c r="J208" t="s">
        <v>16</v>
      </c>
      <c r="N208" t="str">
        <f>IFERROR(VLOOKUP($C208,prova!$A$1:$D$250,2,FALSE),"")</f>
        <v/>
      </c>
      <c r="O208" s="1" t="str">
        <f>IFERROR(VLOOKUP($C208,prova!$A$1:$D$250,3,FALSE),"")</f>
        <v/>
      </c>
      <c r="P208" t="str">
        <f>IFERROR(VLOOKUP($C208,prova!$A$1:$D$250,4,FALSE),"")</f>
        <v/>
      </c>
    </row>
    <row r="209" spans="1:16" x14ac:dyDescent="0.3">
      <c r="A209" t="s">
        <v>302</v>
      </c>
      <c r="B209" t="s">
        <v>11</v>
      </c>
      <c r="C209" t="s">
        <v>20</v>
      </c>
      <c r="D209" t="s">
        <v>21</v>
      </c>
      <c r="E209" t="s">
        <v>14</v>
      </c>
      <c r="F209" t="s">
        <v>22</v>
      </c>
      <c r="G209" s="1">
        <v>37054</v>
      </c>
      <c r="H209">
        <v>195</v>
      </c>
      <c r="I209">
        <v>2027</v>
      </c>
      <c r="J209" t="s">
        <v>16</v>
      </c>
      <c r="N209" t="str">
        <f>IFERROR(VLOOKUP($C209,prova!$A$1:$D$250,2,FALSE),"")</f>
        <v/>
      </c>
      <c r="O209" s="1" t="str">
        <f>IFERROR(VLOOKUP($C209,prova!$A$1:$D$250,3,FALSE),"")</f>
        <v/>
      </c>
      <c r="P209" t="str">
        <f>IFERROR(VLOOKUP($C209,prova!$A$1:$D$250,4,FALSE),"")</f>
        <v/>
      </c>
    </row>
    <row r="210" spans="1:16" x14ac:dyDescent="0.3">
      <c r="A210" t="s">
        <v>302</v>
      </c>
      <c r="B210" t="s">
        <v>23</v>
      </c>
      <c r="C210" t="s">
        <v>24</v>
      </c>
      <c r="D210" t="s">
        <v>25</v>
      </c>
      <c r="E210" t="s">
        <v>26</v>
      </c>
      <c r="F210" t="s">
        <v>27</v>
      </c>
      <c r="G210" s="1">
        <v>35048</v>
      </c>
      <c r="H210">
        <v>202</v>
      </c>
      <c r="I210">
        <v>2027</v>
      </c>
      <c r="J210" t="s">
        <v>16</v>
      </c>
      <c r="N210" t="str">
        <f>IFERROR(VLOOKUP($C210,prova!$A$1:$D$250,2,FALSE),"")</f>
        <v/>
      </c>
      <c r="O210" s="1" t="str">
        <f>IFERROR(VLOOKUP($C210,prova!$A$1:$D$250,3,FALSE),"")</f>
        <v/>
      </c>
      <c r="P210" t="str">
        <f>IFERROR(VLOOKUP($C210,prova!$A$1:$D$250,4,FALSE),"")</f>
        <v/>
      </c>
    </row>
    <row r="211" spans="1:16" x14ac:dyDescent="0.3">
      <c r="A211" t="s">
        <v>302</v>
      </c>
      <c r="B211" t="s">
        <v>23</v>
      </c>
      <c r="C211" t="s">
        <v>28</v>
      </c>
      <c r="D211" t="s">
        <v>29</v>
      </c>
      <c r="E211" t="s">
        <v>26</v>
      </c>
      <c r="F211" t="s">
        <v>27</v>
      </c>
      <c r="G211" s="1">
        <v>32096</v>
      </c>
      <c r="H211">
        <v>190</v>
      </c>
      <c r="I211">
        <v>2027</v>
      </c>
      <c r="J211" t="s">
        <v>30</v>
      </c>
      <c r="N211" t="str">
        <f>IFERROR(VLOOKUP($C211,prova!$A$1:$D$250,2,FALSE),"")</f>
        <v/>
      </c>
      <c r="O211" s="1" t="str">
        <f>IFERROR(VLOOKUP($C211,prova!$A$1:$D$250,3,FALSE),"")</f>
        <v/>
      </c>
      <c r="P211" t="str">
        <f>IFERROR(VLOOKUP($C211,prova!$A$1:$D$250,4,FALSE),"")</f>
        <v/>
      </c>
    </row>
    <row r="212" spans="1:16" x14ac:dyDescent="0.3">
      <c r="A212" t="s">
        <v>302</v>
      </c>
      <c r="B212" t="s">
        <v>23</v>
      </c>
      <c r="C212" t="s">
        <v>31</v>
      </c>
      <c r="D212" t="s">
        <v>32</v>
      </c>
      <c r="E212" t="s">
        <v>26</v>
      </c>
      <c r="F212" t="s">
        <v>33</v>
      </c>
      <c r="G212" s="1">
        <v>37432</v>
      </c>
      <c r="H212">
        <v>196</v>
      </c>
      <c r="I212" t="s">
        <v>34</v>
      </c>
      <c r="J212" t="s">
        <v>35</v>
      </c>
      <c r="N212" t="str">
        <f>IFERROR(VLOOKUP($C212,prova!$A$1:$D$250,2,FALSE),"")</f>
        <v/>
      </c>
      <c r="O212" s="1" t="str">
        <f>IFERROR(VLOOKUP($C212,prova!$A$1:$D$250,3,FALSE),"")</f>
        <v/>
      </c>
      <c r="P212" t="str">
        <f>IFERROR(VLOOKUP($C212,prova!$A$1:$D$250,4,FALSE),"")</f>
        <v/>
      </c>
    </row>
    <row r="213" spans="1:16" x14ac:dyDescent="0.3">
      <c r="A213" t="s">
        <v>302</v>
      </c>
      <c r="B213" t="s">
        <v>36</v>
      </c>
      <c r="C213" t="s">
        <v>37</v>
      </c>
      <c r="D213" t="s">
        <v>38</v>
      </c>
      <c r="E213" t="s">
        <v>14</v>
      </c>
      <c r="F213" t="s">
        <v>15</v>
      </c>
      <c r="G213" s="1">
        <v>34738</v>
      </c>
      <c r="H213">
        <v>198</v>
      </c>
      <c r="I213">
        <v>2028</v>
      </c>
      <c r="J213" t="s">
        <v>16</v>
      </c>
      <c r="N213" t="str">
        <f>IFERROR(VLOOKUP($C213,prova!$A$1:$D$250,2,FALSE),"")</f>
        <v/>
      </c>
      <c r="O213" s="1" t="str">
        <f>IFERROR(VLOOKUP($C213,prova!$A$1:$D$250,3,FALSE),"")</f>
        <v/>
      </c>
      <c r="P213" t="str">
        <f>IFERROR(VLOOKUP($C213,prova!$A$1:$D$250,4,FALSE),"")</f>
        <v/>
      </c>
    </row>
    <row r="214" spans="1:16" x14ac:dyDescent="0.3">
      <c r="A214" t="s">
        <v>302</v>
      </c>
      <c r="B214" t="s">
        <v>36</v>
      </c>
      <c r="C214" t="s">
        <v>39</v>
      </c>
      <c r="D214" t="s">
        <v>40</v>
      </c>
      <c r="E214" t="s">
        <v>14</v>
      </c>
      <c r="F214" t="s">
        <v>22</v>
      </c>
      <c r="G214" s="1">
        <v>34828</v>
      </c>
      <c r="H214">
        <v>198</v>
      </c>
      <c r="I214">
        <v>2028</v>
      </c>
      <c r="J214" t="s">
        <v>35</v>
      </c>
      <c r="N214" t="str">
        <f>IFERROR(VLOOKUP($C214,prova!$A$1:$D$250,2,FALSE),"")</f>
        <v/>
      </c>
      <c r="O214" s="1" t="str">
        <f>IFERROR(VLOOKUP($C214,prova!$A$1:$D$250,3,FALSE),"")</f>
        <v/>
      </c>
      <c r="P214" t="str">
        <f>IFERROR(VLOOKUP($C214,prova!$A$1:$D$250,4,FALSE),"")</f>
        <v/>
      </c>
    </row>
    <row r="215" spans="1:16" x14ac:dyDescent="0.3">
      <c r="A215" t="s">
        <v>302</v>
      </c>
      <c r="B215" t="s">
        <v>36</v>
      </c>
      <c r="C215" t="s">
        <v>41</v>
      </c>
      <c r="D215" t="s">
        <v>42</v>
      </c>
      <c r="E215" t="s">
        <v>14</v>
      </c>
      <c r="F215" t="s">
        <v>43</v>
      </c>
      <c r="G215" s="1">
        <v>37408</v>
      </c>
      <c r="H215">
        <v>201</v>
      </c>
      <c r="I215">
        <v>2028</v>
      </c>
      <c r="J215" t="s">
        <v>16</v>
      </c>
      <c r="N215" t="str">
        <f>IFERROR(VLOOKUP($C215,prova!$A$1:$D$250,2,FALSE),"")</f>
        <v/>
      </c>
      <c r="O215" s="1" t="str">
        <f>IFERROR(VLOOKUP($C215,prova!$A$1:$D$250,3,FALSE),"")</f>
        <v/>
      </c>
      <c r="P215" t="str">
        <f>IFERROR(VLOOKUP($C215,prova!$A$1:$D$250,4,FALSE),"")</f>
        <v/>
      </c>
    </row>
    <row r="216" spans="1:16" x14ac:dyDescent="0.3">
      <c r="A216" t="s">
        <v>302</v>
      </c>
      <c r="B216" t="s">
        <v>44</v>
      </c>
      <c r="C216" t="s">
        <v>45</v>
      </c>
      <c r="D216" t="s">
        <v>46</v>
      </c>
      <c r="E216" t="s">
        <v>26</v>
      </c>
      <c r="F216" t="s">
        <v>27</v>
      </c>
      <c r="G216" s="1">
        <v>36894</v>
      </c>
      <c r="H216">
        <v>202</v>
      </c>
      <c r="I216">
        <v>2031</v>
      </c>
      <c r="J216" t="s">
        <v>35</v>
      </c>
      <c r="N216" t="str">
        <f>IFERROR(VLOOKUP($C216,prova!$A$1:$D$250,2,FALSE),"")</f>
        <v/>
      </c>
      <c r="O216" s="1" t="str">
        <f>IFERROR(VLOOKUP($C216,prova!$A$1:$D$250,3,FALSE),"")</f>
        <v/>
      </c>
      <c r="P216" t="str">
        <f>IFERROR(VLOOKUP($C216,prova!$A$1:$D$250,4,FALSE),"")</f>
        <v/>
      </c>
    </row>
    <row r="217" spans="1:16" x14ac:dyDescent="0.3">
      <c r="A217" t="s">
        <v>302</v>
      </c>
      <c r="B217" t="s">
        <v>44</v>
      </c>
      <c r="C217" t="s">
        <v>47</v>
      </c>
      <c r="D217" t="s">
        <v>48</v>
      </c>
      <c r="E217" t="s">
        <v>49</v>
      </c>
      <c r="F217" t="s">
        <v>50</v>
      </c>
      <c r="G217" s="1">
        <v>36025</v>
      </c>
      <c r="H217">
        <v>201</v>
      </c>
      <c r="I217">
        <v>2027</v>
      </c>
      <c r="J217" t="s">
        <v>16</v>
      </c>
      <c r="N217" t="str">
        <f>IFERROR(VLOOKUP($C217,prova!$A$1:$D$250,2,FALSE),"")</f>
        <v/>
      </c>
      <c r="O217" s="1" t="str">
        <f>IFERROR(VLOOKUP($C217,prova!$A$1:$D$250,3,FALSE),"")</f>
        <v/>
      </c>
      <c r="P217" t="str">
        <f>IFERROR(VLOOKUP($C217,prova!$A$1:$D$250,4,FALSE),"")</f>
        <v/>
      </c>
    </row>
    <row r="218" spans="1:16" x14ac:dyDescent="0.3">
      <c r="A218" t="s">
        <v>302</v>
      </c>
      <c r="B218" t="s">
        <v>44</v>
      </c>
      <c r="C218" t="s">
        <v>51</v>
      </c>
      <c r="D218" t="s">
        <v>52</v>
      </c>
      <c r="E218" t="s">
        <v>14</v>
      </c>
      <c r="F218" t="s">
        <v>53</v>
      </c>
      <c r="G218" s="1">
        <v>36636</v>
      </c>
      <c r="H218">
        <v>205</v>
      </c>
      <c r="I218">
        <v>2028</v>
      </c>
      <c r="J218" t="s">
        <v>35</v>
      </c>
      <c r="N218" t="str">
        <f>IFERROR(VLOOKUP($C218,prova!$A$1:$D$250,2,FALSE),"")</f>
        <v/>
      </c>
      <c r="O218" s="1" t="str">
        <f>IFERROR(VLOOKUP($C218,prova!$A$1:$D$250,3,FALSE),"")</f>
        <v/>
      </c>
      <c r="P218" t="str">
        <f>IFERROR(VLOOKUP($C218,prova!$A$1:$D$250,4,FALSE),"")</f>
        <v/>
      </c>
    </row>
    <row r="219" spans="1:16" x14ac:dyDescent="0.3">
      <c r="A219" t="s">
        <v>302</v>
      </c>
      <c r="B219" t="s">
        <v>54</v>
      </c>
      <c r="C219" t="s">
        <v>55</v>
      </c>
      <c r="D219" t="s">
        <v>56</v>
      </c>
      <c r="E219" t="s">
        <v>26</v>
      </c>
      <c r="F219" t="s">
        <v>57</v>
      </c>
      <c r="G219" s="1">
        <v>33685</v>
      </c>
      <c r="H219">
        <v>220</v>
      </c>
      <c r="I219">
        <v>2029</v>
      </c>
      <c r="J219" t="s">
        <v>16</v>
      </c>
      <c r="N219" t="str">
        <f>IFERROR(VLOOKUP($C219,prova!$A$1:$D$250,2,FALSE),"")</f>
        <v/>
      </c>
      <c r="O219" s="1" t="str">
        <f>IFERROR(VLOOKUP($C219,prova!$A$1:$D$250,3,FALSE),"")</f>
        <v/>
      </c>
      <c r="P219" t="str">
        <f>IFERROR(VLOOKUP($C219,prova!$A$1:$D$250,4,FALSE),"")</f>
        <v/>
      </c>
    </row>
    <row r="220" spans="1:16" x14ac:dyDescent="0.3">
      <c r="A220" t="s">
        <v>302</v>
      </c>
      <c r="B220" t="s">
        <v>54</v>
      </c>
      <c r="C220" t="s">
        <v>58</v>
      </c>
      <c r="D220" t="s">
        <v>59</v>
      </c>
      <c r="E220" t="s">
        <v>26</v>
      </c>
      <c r="F220" t="s">
        <v>27</v>
      </c>
      <c r="G220" s="1">
        <v>37324</v>
      </c>
      <c r="H220">
        <v>203</v>
      </c>
      <c r="I220">
        <v>2027</v>
      </c>
      <c r="J220" t="s">
        <v>16</v>
      </c>
      <c r="N220" t="str">
        <f>IFERROR(VLOOKUP($C220,prova!$A$1:$D$250,2,FALSE),"")</f>
        <v/>
      </c>
      <c r="O220" s="1" t="str">
        <f>IFERROR(VLOOKUP($C220,prova!$A$1:$D$250,3,FALSE),"")</f>
        <v/>
      </c>
      <c r="P220" t="str">
        <f>IFERROR(VLOOKUP($C220,prova!$A$1:$D$250,4,FALSE),"")</f>
        <v/>
      </c>
    </row>
    <row r="221" spans="1:16" x14ac:dyDescent="0.3">
      <c r="A221" t="s">
        <v>302</v>
      </c>
      <c r="B221" t="s">
        <v>54</v>
      </c>
      <c r="C221" t="s">
        <v>60</v>
      </c>
      <c r="D221" t="s">
        <v>61</v>
      </c>
      <c r="E221" t="s">
        <v>14</v>
      </c>
      <c r="F221" t="s">
        <v>22</v>
      </c>
      <c r="G221" s="1">
        <v>36211</v>
      </c>
      <c r="H221">
        <v>208</v>
      </c>
      <c r="I221" t="s">
        <v>34</v>
      </c>
      <c r="J221" t="s">
        <v>35</v>
      </c>
      <c r="N221" t="str">
        <f>IFERROR(VLOOKUP($C221,prova!$A$1:$D$250,2,FALSE),"")</f>
        <v/>
      </c>
      <c r="O221" s="1" t="str">
        <f>IFERROR(VLOOKUP($C221,prova!$A$1:$D$250,3,FALSE),"")</f>
        <v/>
      </c>
      <c r="P221" t="str">
        <f>IFERROR(VLOOKUP($C221,prova!$A$1:$D$250,4,FALSE),"")</f>
        <v/>
      </c>
    </row>
    <row r="222" spans="1:16" x14ac:dyDescent="0.3">
      <c r="A222" t="s">
        <v>302</v>
      </c>
      <c r="B222" t="s">
        <v>54</v>
      </c>
      <c r="C222" t="s">
        <v>62</v>
      </c>
      <c r="D222" t="s">
        <v>63</v>
      </c>
      <c r="E222" t="s">
        <v>49</v>
      </c>
      <c r="F222" t="s">
        <v>50</v>
      </c>
      <c r="G222" s="1">
        <v>34880</v>
      </c>
      <c r="H222">
        <v>211</v>
      </c>
      <c r="I222" t="s">
        <v>34</v>
      </c>
      <c r="J222" t="s">
        <v>35</v>
      </c>
      <c r="N222" t="str">
        <f>IFERROR(VLOOKUP($C222,prova!$A$1:$D$250,2,FALSE),"")</f>
        <v/>
      </c>
      <c r="O222" s="1" t="str">
        <f>IFERROR(VLOOKUP($C222,prova!$A$1:$D$250,3,FALSE),"")</f>
        <v/>
      </c>
      <c r="P222" t="str">
        <f>IFERROR(VLOOKUP($C222,prova!$A$1:$D$250,4,FALSE),"")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73A42-781B-4234-BC25-0C1CB51338D9}">
  <dimension ref="A1:E21"/>
  <sheetViews>
    <sheetView tabSelected="1" topLeftCell="A10" workbookViewId="0">
      <selection activeCell="B33" sqref="B33:C42"/>
    </sheetView>
  </sheetViews>
  <sheetFormatPr baseColWidth="10" defaultRowHeight="14.4" x14ac:dyDescent="0.3"/>
  <cols>
    <col min="1" max="1" width="17.44140625" bestFit="1" customWidth="1"/>
    <col min="2" max="2" width="13.5546875" customWidth="1"/>
    <col min="6" max="6" width="14.109375" bestFit="1" customWidth="1"/>
  </cols>
  <sheetData>
    <row r="1" spans="1:5" x14ac:dyDescent="0.3">
      <c r="A1" t="s">
        <v>510</v>
      </c>
      <c r="B1" t="s">
        <v>311</v>
      </c>
      <c r="C1" t="s">
        <v>567</v>
      </c>
      <c r="D1" t="s">
        <v>313</v>
      </c>
      <c r="E1" t="s">
        <v>363</v>
      </c>
    </row>
    <row r="2" spans="1:5" x14ac:dyDescent="0.3">
      <c r="A2" t="s">
        <v>85</v>
      </c>
      <c r="B2" t="s">
        <v>568</v>
      </c>
      <c r="C2" s="1">
        <v>36369</v>
      </c>
      <c r="D2">
        <v>196</v>
      </c>
      <c r="E2" s="7" t="s">
        <v>547</v>
      </c>
    </row>
    <row r="3" spans="1:5" x14ac:dyDescent="0.3">
      <c r="A3" t="s">
        <v>107</v>
      </c>
      <c r="B3" t="s">
        <v>571</v>
      </c>
      <c r="C3" s="1">
        <v>35980</v>
      </c>
      <c r="D3">
        <v>182</v>
      </c>
      <c r="E3" s="7" t="s">
        <v>548</v>
      </c>
    </row>
    <row r="4" spans="1:5" x14ac:dyDescent="0.3">
      <c r="A4" t="s">
        <v>164</v>
      </c>
      <c r="B4" t="s">
        <v>570</v>
      </c>
      <c r="C4" s="1">
        <v>35468</v>
      </c>
      <c r="D4">
        <v>202</v>
      </c>
      <c r="E4" s="7" t="s">
        <v>549</v>
      </c>
    </row>
    <row r="5" spans="1:5" x14ac:dyDescent="0.3">
      <c r="A5" t="s">
        <v>177</v>
      </c>
      <c r="B5" t="s">
        <v>569</v>
      </c>
      <c r="C5" s="1">
        <v>36085</v>
      </c>
      <c r="D5">
        <v>205</v>
      </c>
      <c r="E5" s="7" t="s">
        <v>550</v>
      </c>
    </row>
    <row r="6" spans="1:5" x14ac:dyDescent="0.3">
      <c r="A6" t="s">
        <v>207</v>
      </c>
      <c r="B6" t="s">
        <v>572</v>
      </c>
      <c r="C6" s="1">
        <v>37166</v>
      </c>
      <c r="D6">
        <v>188</v>
      </c>
      <c r="E6" s="7" t="s">
        <v>551</v>
      </c>
    </row>
    <row r="7" spans="1:5" x14ac:dyDescent="0.3">
      <c r="A7" t="s">
        <v>216</v>
      </c>
      <c r="B7" t="s">
        <v>573</v>
      </c>
      <c r="C7" s="1">
        <v>34758</v>
      </c>
      <c r="D7">
        <v>201</v>
      </c>
      <c r="E7" s="7" t="s">
        <v>552</v>
      </c>
    </row>
    <row r="8" spans="1:5" x14ac:dyDescent="0.3">
      <c r="A8" t="s">
        <v>218</v>
      </c>
      <c r="B8" t="s">
        <v>574</v>
      </c>
      <c r="C8" s="1">
        <v>36647</v>
      </c>
      <c r="D8">
        <v>216</v>
      </c>
      <c r="E8" s="7" t="s">
        <v>553</v>
      </c>
    </row>
    <row r="9" spans="1:5" x14ac:dyDescent="0.3">
      <c r="A9" t="s">
        <v>224</v>
      </c>
      <c r="B9" t="s">
        <v>575</v>
      </c>
      <c r="C9" s="1">
        <v>35396</v>
      </c>
      <c r="D9">
        <v>198</v>
      </c>
      <c r="E9" s="7" t="s">
        <v>554</v>
      </c>
    </row>
    <row r="10" spans="1:5" x14ac:dyDescent="0.3">
      <c r="A10" t="s">
        <v>236</v>
      </c>
      <c r="B10" t="s">
        <v>576</v>
      </c>
      <c r="C10" s="1">
        <v>36166</v>
      </c>
      <c r="D10">
        <v>201</v>
      </c>
      <c r="E10" s="7" t="s">
        <v>555</v>
      </c>
    </row>
    <row r="11" spans="1:5" x14ac:dyDescent="0.3">
      <c r="A11" t="s">
        <v>266</v>
      </c>
      <c r="B11" t="s">
        <v>577</v>
      </c>
      <c r="C11" s="1">
        <v>35927</v>
      </c>
      <c r="D11">
        <v>215</v>
      </c>
      <c r="E11" s="7" t="s">
        <v>556</v>
      </c>
    </row>
    <row r="12" spans="1:5" x14ac:dyDescent="0.3">
      <c r="A12" t="s">
        <v>64</v>
      </c>
      <c r="B12" t="s">
        <v>578</v>
      </c>
      <c r="C12" s="1">
        <v>35718</v>
      </c>
      <c r="D12">
        <v>175</v>
      </c>
      <c r="E12" s="7" t="s">
        <v>557</v>
      </c>
    </row>
    <row r="13" spans="1:5" x14ac:dyDescent="0.3">
      <c r="A13" t="s">
        <v>67</v>
      </c>
      <c r="B13" t="s">
        <v>579</v>
      </c>
      <c r="C13" s="1">
        <v>35951</v>
      </c>
      <c r="D13">
        <v>194</v>
      </c>
      <c r="E13" s="7" t="s">
        <v>558</v>
      </c>
    </row>
    <row r="14" spans="1:5" x14ac:dyDescent="0.3">
      <c r="A14" t="s">
        <v>73</v>
      </c>
      <c r="B14" t="s">
        <v>580</v>
      </c>
      <c r="C14" s="1">
        <v>35285</v>
      </c>
      <c r="D14">
        <v>206</v>
      </c>
      <c r="E14" s="7" t="s">
        <v>559</v>
      </c>
    </row>
    <row r="15" spans="1:5" x14ac:dyDescent="0.3">
      <c r="A15" t="s">
        <v>106</v>
      </c>
      <c r="B15" t="s">
        <v>581</v>
      </c>
      <c r="C15" s="1">
        <v>35715</v>
      </c>
      <c r="D15">
        <v>185</v>
      </c>
      <c r="E15" s="7" t="s">
        <v>560</v>
      </c>
    </row>
    <row r="16" spans="1:5" x14ac:dyDescent="0.3">
      <c r="A16" t="s">
        <v>117</v>
      </c>
      <c r="B16" t="s">
        <v>582</v>
      </c>
      <c r="C16" s="1">
        <v>35628</v>
      </c>
      <c r="D16">
        <v>206</v>
      </c>
      <c r="E16" s="7" t="s">
        <v>561</v>
      </c>
    </row>
    <row r="17" spans="1:5" x14ac:dyDescent="0.3">
      <c r="A17" t="s">
        <v>121</v>
      </c>
      <c r="B17" t="s">
        <v>583</v>
      </c>
      <c r="C17" s="1">
        <v>36872</v>
      </c>
      <c r="D17">
        <v>188</v>
      </c>
      <c r="E17" s="7" t="s">
        <v>562</v>
      </c>
    </row>
    <row r="18" spans="1:5" x14ac:dyDescent="0.3">
      <c r="A18" t="s">
        <v>142</v>
      </c>
      <c r="B18" t="s">
        <v>584</v>
      </c>
      <c r="C18" s="1">
        <v>36114</v>
      </c>
      <c r="D18">
        <v>210</v>
      </c>
      <c r="E18" s="7" t="s">
        <v>563</v>
      </c>
    </row>
    <row r="19" spans="1:5" x14ac:dyDescent="0.3">
      <c r="A19" t="s">
        <v>162</v>
      </c>
      <c r="B19" t="s">
        <v>585</v>
      </c>
      <c r="C19" s="1">
        <v>36168</v>
      </c>
      <c r="D19">
        <v>201</v>
      </c>
      <c r="E19" s="7" t="s">
        <v>564</v>
      </c>
    </row>
    <row r="20" spans="1:5" x14ac:dyDescent="0.3">
      <c r="A20" t="s">
        <v>228</v>
      </c>
      <c r="B20" t="s">
        <v>586</v>
      </c>
      <c r="C20" s="1">
        <v>35669</v>
      </c>
      <c r="D20">
        <v>213</v>
      </c>
      <c r="E20" s="7" t="s">
        <v>565</v>
      </c>
    </row>
    <row r="21" spans="1:5" x14ac:dyDescent="0.3">
      <c r="A21" t="s">
        <v>241</v>
      </c>
      <c r="B21" t="s">
        <v>587</v>
      </c>
      <c r="C21" s="1">
        <v>32930</v>
      </c>
      <c r="D21">
        <v>208</v>
      </c>
      <c r="E21" s="7" t="s">
        <v>566</v>
      </c>
    </row>
  </sheetData>
  <phoneticPr fontId="19" type="noConversion"/>
  <hyperlinks>
    <hyperlink ref="E2" r:id="rId1" xr:uid="{A3314E1A-FF5C-4650-A7F8-E754DCAFD307}"/>
    <hyperlink ref="E3" r:id="rId2" xr:uid="{5FCFF4FC-66EC-43DF-AA99-127C919FA40C}"/>
    <hyperlink ref="E4" r:id="rId3" xr:uid="{048DB7D5-6C9C-4BE0-B109-3A94C4BB94F8}"/>
    <hyperlink ref="E5" r:id="rId4" xr:uid="{8F03C9D0-D71E-487C-B065-8DD55AE2EA67}"/>
    <hyperlink ref="E6" r:id="rId5" xr:uid="{1EABF4A5-7F5A-4FC3-ACFC-C95D584D0FC4}"/>
    <hyperlink ref="E7" r:id="rId6" xr:uid="{8F58E843-AB61-4517-B14E-27F5DE11383A}"/>
    <hyperlink ref="E8" r:id="rId7" xr:uid="{CB659CDA-1A5B-489C-9F5B-CC1054E088F5}"/>
    <hyperlink ref="E9" r:id="rId8" xr:uid="{311D76E8-91A5-4BD5-BD28-FA6FBF1ECC0B}"/>
    <hyperlink ref="E10" r:id="rId9" xr:uid="{211049B7-C099-47D5-B9E9-018C9B5D0B41}"/>
    <hyperlink ref="E11" r:id="rId10" xr:uid="{913BE11B-FA75-4647-B416-DE9C95C23EAC}"/>
    <hyperlink ref="E12" r:id="rId11" xr:uid="{FF0ABAE1-5A2F-4BED-9E25-FBFE68A2C2D4}"/>
    <hyperlink ref="E13" r:id="rId12" xr:uid="{5BF0EE7E-7381-42EE-B649-8E26442C6979}"/>
    <hyperlink ref="E14" r:id="rId13" xr:uid="{CF51C0AA-A11F-4FB4-B0F1-65B2A2F9B94F}"/>
    <hyperlink ref="E15" r:id="rId14" xr:uid="{DDAED064-3B56-4C53-A7FA-901185FA8F1B}"/>
    <hyperlink ref="E16" r:id="rId15" xr:uid="{075BE50C-0A7B-4EEF-A556-24854F9F3D68}"/>
    <hyperlink ref="E17" r:id="rId16" xr:uid="{DBB56D6A-27D2-4277-A510-DBCD73B1EE50}"/>
    <hyperlink ref="E18" r:id="rId17" xr:uid="{A77AB4C7-0FDB-4246-9017-A8DE0BFD2E19}"/>
    <hyperlink ref="E19" r:id="rId18" xr:uid="{1627891F-1AE1-4E46-8279-7D116F2C4525}"/>
    <hyperlink ref="E20" r:id="rId19" xr:uid="{48A02F5E-F84F-4F0F-8453-EBF9269A6841}"/>
    <hyperlink ref="E21" r:id="rId20" xr:uid="{BDE683B9-B775-4192-82D6-A23D4047A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37D0B-4394-45C8-A04A-A7737FD00A60}">
  <dimension ref="A1:D206"/>
  <sheetViews>
    <sheetView topLeftCell="A190" workbookViewId="0">
      <selection sqref="A1:D206"/>
    </sheetView>
  </sheetViews>
  <sheetFormatPr baseColWidth="10" defaultRowHeight="14.4" x14ac:dyDescent="0.3"/>
  <cols>
    <col min="1" max="1" width="19.88671875" bestFit="1" customWidth="1"/>
    <col min="2" max="2" width="72" bestFit="1" customWidth="1"/>
    <col min="4" max="4" width="11.5546875" style="5"/>
  </cols>
  <sheetData>
    <row r="1" spans="1:4" x14ac:dyDescent="0.3">
      <c r="A1" t="s">
        <v>310</v>
      </c>
      <c r="B1" t="s">
        <v>311</v>
      </c>
      <c r="C1" t="s">
        <v>312</v>
      </c>
      <c r="D1" s="5" t="s">
        <v>313</v>
      </c>
    </row>
    <row r="2" spans="1:4" x14ac:dyDescent="0.3">
      <c r="A2" t="s">
        <v>82</v>
      </c>
      <c r="B2" t="s">
        <v>314</v>
      </c>
      <c r="C2" s="1">
        <v>35594</v>
      </c>
      <c r="D2" s="6">
        <v>196</v>
      </c>
    </row>
    <row r="3" spans="1:4" x14ac:dyDescent="0.3">
      <c r="A3" t="s">
        <v>83</v>
      </c>
      <c r="B3" t="s">
        <v>315</v>
      </c>
      <c r="C3" s="1">
        <v>36222</v>
      </c>
      <c r="D3" s="6">
        <v>179</v>
      </c>
    </row>
    <row r="4" spans="1:4" x14ac:dyDescent="0.3">
      <c r="A4" t="s">
        <v>84</v>
      </c>
      <c r="B4" t="s">
        <v>316</v>
      </c>
      <c r="C4" s="1">
        <v>39768</v>
      </c>
      <c r="D4" s="6">
        <v>200.99999999999997</v>
      </c>
    </row>
    <row r="5" spans="1:4" x14ac:dyDescent="0.3">
      <c r="A5" t="s">
        <v>87</v>
      </c>
      <c r="B5" t="s">
        <v>317</v>
      </c>
      <c r="C5" s="1">
        <v>35831</v>
      </c>
      <c r="D5" s="6">
        <v>202.99999999999997</v>
      </c>
    </row>
    <row r="6" spans="1:4" x14ac:dyDescent="0.3">
      <c r="A6" t="s">
        <v>88</v>
      </c>
      <c r="B6" t="s">
        <v>318</v>
      </c>
      <c r="C6" s="1">
        <v>35812</v>
      </c>
      <c r="D6" s="6">
        <v>206</v>
      </c>
    </row>
    <row r="7" spans="1:4" x14ac:dyDescent="0.3">
      <c r="A7" t="s">
        <v>89</v>
      </c>
      <c r="B7" t="s">
        <v>319</v>
      </c>
      <c r="C7" s="1">
        <v>37263</v>
      </c>
      <c r="D7" s="6">
        <v>200.99999999999997</v>
      </c>
    </row>
    <row r="8" spans="1:4" x14ac:dyDescent="0.3">
      <c r="A8" t="s">
        <v>90</v>
      </c>
      <c r="B8" t="s">
        <v>320</v>
      </c>
      <c r="C8" s="1">
        <v>37271</v>
      </c>
      <c r="D8" s="6">
        <v>215</v>
      </c>
    </row>
    <row r="9" spans="1:4" x14ac:dyDescent="0.3">
      <c r="A9" t="s">
        <v>92</v>
      </c>
      <c r="B9" t="s">
        <v>321</v>
      </c>
      <c r="C9" s="1">
        <v>36713</v>
      </c>
      <c r="D9" s="6">
        <v>190</v>
      </c>
    </row>
    <row r="10" spans="1:4" x14ac:dyDescent="0.3">
      <c r="A10" t="s">
        <v>93</v>
      </c>
      <c r="B10" t="s">
        <v>322</v>
      </c>
      <c r="C10" s="1">
        <v>36496</v>
      </c>
      <c r="D10" s="6">
        <v>183</v>
      </c>
    </row>
    <row r="11" spans="1:4" x14ac:dyDescent="0.3">
      <c r="A11" t="s">
        <v>94</v>
      </c>
      <c r="B11" t="s">
        <v>323</v>
      </c>
      <c r="C11" s="1">
        <v>33598</v>
      </c>
      <c r="D11" s="6">
        <v>188</v>
      </c>
    </row>
    <row r="12" spans="1:4" x14ac:dyDescent="0.3">
      <c r="A12" t="s">
        <v>95</v>
      </c>
      <c r="B12" t="s">
        <v>324</v>
      </c>
      <c r="C12" s="1">
        <v>35598</v>
      </c>
      <c r="D12" s="6">
        <v>191</v>
      </c>
    </row>
    <row r="13" spans="1:4" x14ac:dyDescent="0.3">
      <c r="A13" t="s">
        <v>96</v>
      </c>
      <c r="B13" t="s">
        <v>325</v>
      </c>
      <c r="C13" s="1">
        <v>36250</v>
      </c>
      <c r="D13" s="6">
        <v>200.99999999999997</v>
      </c>
    </row>
    <row r="14" spans="1:4" x14ac:dyDescent="0.3">
      <c r="A14" t="s">
        <v>97</v>
      </c>
      <c r="B14" t="s">
        <v>326</v>
      </c>
      <c r="C14" s="1">
        <v>33282</v>
      </c>
      <c r="D14" s="6">
        <v>200.99999999999997</v>
      </c>
    </row>
    <row r="15" spans="1:4" x14ac:dyDescent="0.3">
      <c r="A15" t="s">
        <v>98</v>
      </c>
      <c r="B15" t="s">
        <v>327</v>
      </c>
      <c r="C15" s="1">
        <v>37797</v>
      </c>
      <c r="D15" s="6">
        <v>202.99999999999997</v>
      </c>
    </row>
    <row r="16" spans="1:4" x14ac:dyDescent="0.3">
      <c r="A16" t="s">
        <v>99</v>
      </c>
      <c r="B16" t="s">
        <v>328</v>
      </c>
      <c r="C16" s="1">
        <v>35377</v>
      </c>
      <c r="D16" s="6">
        <v>200.99999999999997</v>
      </c>
    </row>
    <row r="17" spans="1:4" x14ac:dyDescent="0.3">
      <c r="A17" t="s">
        <v>100</v>
      </c>
      <c r="B17" t="s">
        <v>329</v>
      </c>
      <c r="C17" s="1">
        <v>37131</v>
      </c>
      <c r="D17" s="6">
        <v>208</v>
      </c>
    </row>
    <row r="18" spans="1:4" x14ac:dyDescent="0.3">
      <c r="A18" t="s">
        <v>101</v>
      </c>
      <c r="B18" t="s">
        <v>330</v>
      </c>
      <c r="C18" s="1">
        <v>36312</v>
      </c>
      <c r="D18" s="6">
        <v>200.99999999999997</v>
      </c>
    </row>
    <row r="19" spans="1:4" x14ac:dyDescent="0.3">
      <c r="A19" t="s">
        <v>102</v>
      </c>
      <c r="B19" t="s">
        <v>331</v>
      </c>
      <c r="C19" s="1">
        <v>37328</v>
      </c>
      <c r="D19" s="6">
        <v>200.99999999999997</v>
      </c>
    </row>
    <row r="20" spans="1:4" x14ac:dyDescent="0.3">
      <c r="A20" t="s">
        <v>104</v>
      </c>
      <c r="B20" t="s">
        <v>332</v>
      </c>
      <c r="C20" s="1">
        <v>35641</v>
      </c>
      <c r="D20" s="6">
        <v>206.99999999999997</v>
      </c>
    </row>
    <row r="21" spans="1:4" x14ac:dyDescent="0.3">
      <c r="A21" t="s">
        <v>105</v>
      </c>
      <c r="B21" t="s">
        <v>333</v>
      </c>
      <c r="C21" s="1">
        <v>34399</v>
      </c>
      <c r="D21" s="6">
        <v>211</v>
      </c>
    </row>
    <row r="22" spans="1:4" x14ac:dyDescent="0.3">
      <c r="A22" t="s">
        <v>108</v>
      </c>
      <c r="B22" t="s">
        <v>334</v>
      </c>
      <c r="C22" s="1">
        <v>38142</v>
      </c>
      <c r="D22" s="6">
        <v>191</v>
      </c>
    </row>
    <row r="23" spans="1:4" x14ac:dyDescent="0.3">
      <c r="A23" t="s">
        <v>109</v>
      </c>
      <c r="B23" t="s">
        <v>335</v>
      </c>
      <c r="C23" s="1">
        <v>34145</v>
      </c>
      <c r="D23" s="6">
        <v>193</v>
      </c>
    </row>
    <row r="24" spans="1:4" x14ac:dyDescent="0.3">
      <c r="A24" t="s">
        <v>110</v>
      </c>
      <c r="B24" t="s">
        <v>336</v>
      </c>
      <c r="C24" s="1">
        <v>34646</v>
      </c>
      <c r="D24" s="6">
        <v>188</v>
      </c>
    </row>
    <row r="25" spans="1:4" x14ac:dyDescent="0.3">
      <c r="A25" t="s">
        <v>111</v>
      </c>
      <c r="B25" t="s">
        <v>337</v>
      </c>
      <c r="C25" s="1">
        <v>37821</v>
      </c>
      <c r="D25" s="6">
        <v>198</v>
      </c>
    </row>
    <row r="26" spans="1:4" x14ac:dyDescent="0.3">
      <c r="A26" t="s">
        <v>114</v>
      </c>
      <c r="B26" t="s">
        <v>338</v>
      </c>
      <c r="C26" s="1">
        <v>36620</v>
      </c>
      <c r="D26" s="6">
        <v>202</v>
      </c>
    </row>
    <row r="27" spans="1:4" x14ac:dyDescent="0.3">
      <c r="A27" t="s">
        <v>118</v>
      </c>
      <c r="B27" t="s">
        <v>339</v>
      </c>
      <c r="C27" s="1">
        <v>36849</v>
      </c>
      <c r="D27" s="6">
        <v>216</v>
      </c>
    </row>
    <row r="28" spans="1:4" x14ac:dyDescent="0.3">
      <c r="A28" t="s">
        <v>119</v>
      </c>
      <c r="B28" t="s">
        <v>340</v>
      </c>
      <c r="C28" s="1">
        <v>33167</v>
      </c>
      <c r="D28" s="6">
        <v>189</v>
      </c>
    </row>
    <row r="29" spans="1:4" x14ac:dyDescent="0.3">
      <c r="A29" t="s">
        <v>120</v>
      </c>
      <c r="B29" t="s">
        <v>341</v>
      </c>
      <c r="C29" s="1">
        <v>35146</v>
      </c>
      <c r="D29" s="6">
        <v>189</v>
      </c>
    </row>
    <row r="30" spans="1:4" x14ac:dyDescent="0.3">
      <c r="A30" t="s">
        <v>122</v>
      </c>
      <c r="B30" t="s">
        <v>342</v>
      </c>
      <c r="C30" s="1">
        <v>32904</v>
      </c>
      <c r="D30" s="6">
        <v>190</v>
      </c>
    </row>
    <row r="31" spans="1:4" x14ac:dyDescent="0.3">
      <c r="A31" t="s">
        <v>123</v>
      </c>
      <c r="B31" t="s">
        <v>343</v>
      </c>
      <c r="C31" s="1">
        <v>38027</v>
      </c>
      <c r="D31" s="6">
        <v>196</v>
      </c>
    </row>
    <row r="32" spans="1:4" x14ac:dyDescent="0.3">
      <c r="A32" t="s">
        <v>124</v>
      </c>
      <c r="B32" t="s">
        <v>344</v>
      </c>
      <c r="C32" s="1">
        <v>37545</v>
      </c>
      <c r="D32" s="6">
        <v>202</v>
      </c>
    </row>
    <row r="33" spans="1:4" x14ac:dyDescent="0.3">
      <c r="A33" t="s">
        <v>125</v>
      </c>
      <c r="B33" t="s">
        <v>345</v>
      </c>
      <c r="C33" s="1">
        <v>34320</v>
      </c>
      <c r="D33" s="6">
        <v>202</v>
      </c>
    </row>
    <row r="34" spans="1:4" x14ac:dyDescent="0.3">
      <c r="A34" t="s">
        <v>127</v>
      </c>
      <c r="B34" t="s">
        <v>346</v>
      </c>
      <c r="C34" s="1">
        <v>34893</v>
      </c>
      <c r="D34" s="6">
        <v>204.99999999999997</v>
      </c>
    </row>
    <row r="35" spans="1:4" x14ac:dyDescent="0.3">
      <c r="A35" t="s">
        <v>129</v>
      </c>
      <c r="B35" t="s">
        <v>347</v>
      </c>
      <c r="C35" s="1">
        <v>31825</v>
      </c>
      <c r="D35" s="6">
        <v>217</v>
      </c>
    </row>
    <row r="36" spans="1:4" x14ac:dyDescent="0.3">
      <c r="A36" t="s">
        <v>130</v>
      </c>
      <c r="B36" t="s">
        <v>348</v>
      </c>
      <c r="C36" s="1">
        <v>35726</v>
      </c>
      <c r="D36" s="6">
        <v>209</v>
      </c>
    </row>
    <row r="37" spans="1:4" x14ac:dyDescent="0.3">
      <c r="A37" t="s">
        <v>131</v>
      </c>
      <c r="B37" t="s">
        <v>349</v>
      </c>
      <c r="C37" s="1">
        <v>35577</v>
      </c>
      <c r="D37" s="6">
        <v>188</v>
      </c>
    </row>
    <row r="38" spans="1:4" x14ac:dyDescent="0.3">
      <c r="A38" t="s">
        <v>135</v>
      </c>
      <c r="B38" t="s">
        <v>350</v>
      </c>
      <c r="C38" s="1">
        <v>35365</v>
      </c>
      <c r="D38" s="6">
        <v>194</v>
      </c>
    </row>
    <row r="39" spans="1:4" x14ac:dyDescent="0.3">
      <c r="A39" t="s">
        <v>136</v>
      </c>
      <c r="B39" t="s">
        <v>351</v>
      </c>
      <c r="C39" s="1">
        <v>34072</v>
      </c>
      <c r="D39" s="6">
        <v>198</v>
      </c>
    </row>
    <row r="40" spans="1:4" x14ac:dyDescent="0.3">
      <c r="A40" t="s">
        <v>137</v>
      </c>
      <c r="B40" t="s">
        <v>352</v>
      </c>
      <c r="C40" s="1">
        <v>35865</v>
      </c>
      <c r="D40" s="6">
        <v>194</v>
      </c>
    </row>
    <row r="41" spans="1:4" x14ac:dyDescent="0.3">
      <c r="A41" t="s">
        <v>66</v>
      </c>
      <c r="B41" t="s">
        <v>353</v>
      </c>
      <c r="C41" s="1">
        <v>37375</v>
      </c>
      <c r="D41" s="6">
        <v>187</v>
      </c>
    </row>
    <row r="42" spans="1:4" x14ac:dyDescent="0.3">
      <c r="A42" t="s">
        <v>68</v>
      </c>
      <c r="B42" t="s">
        <v>354</v>
      </c>
      <c r="C42" s="1">
        <v>36787</v>
      </c>
      <c r="D42" s="6">
        <v>198</v>
      </c>
    </row>
    <row r="43" spans="1:4" x14ac:dyDescent="0.3">
      <c r="A43" t="s">
        <v>69</v>
      </c>
      <c r="B43" t="s">
        <v>355</v>
      </c>
      <c r="C43" s="1">
        <v>37318</v>
      </c>
      <c r="D43" s="6">
        <v>193</v>
      </c>
    </row>
    <row r="44" spans="1:4" x14ac:dyDescent="0.3">
      <c r="A44" t="s">
        <v>71</v>
      </c>
      <c r="B44" t="s">
        <v>356</v>
      </c>
      <c r="C44" s="1">
        <v>34612</v>
      </c>
      <c r="D44" s="6">
        <v>198</v>
      </c>
    </row>
    <row r="45" spans="1:4" x14ac:dyDescent="0.3">
      <c r="A45" t="s">
        <v>72</v>
      </c>
      <c r="B45" t="s">
        <v>357</v>
      </c>
      <c r="C45" s="1">
        <v>36227</v>
      </c>
      <c r="D45" s="6">
        <v>199</v>
      </c>
    </row>
    <row r="46" spans="1:4" x14ac:dyDescent="0.3">
      <c r="A46" t="s">
        <v>75</v>
      </c>
      <c r="B46" t="s">
        <v>358</v>
      </c>
      <c r="C46" s="1">
        <v>36068</v>
      </c>
      <c r="D46" s="6">
        <v>211</v>
      </c>
    </row>
    <row r="47" spans="1:4" x14ac:dyDescent="0.3">
      <c r="A47" t="s">
        <v>76</v>
      </c>
      <c r="B47" t="s">
        <v>359</v>
      </c>
      <c r="C47" s="1">
        <v>36020</v>
      </c>
      <c r="D47" s="6">
        <v>210</v>
      </c>
    </row>
    <row r="48" spans="1:4" x14ac:dyDescent="0.3">
      <c r="A48" t="s">
        <v>77</v>
      </c>
      <c r="B48" t="s">
        <v>360</v>
      </c>
      <c r="C48" s="1">
        <v>35274</v>
      </c>
      <c r="D48" s="6">
        <v>211</v>
      </c>
    </row>
    <row r="49" spans="1:4" x14ac:dyDescent="0.3">
      <c r="A49" t="s">
        <v>79</v>
      </c>
      <c r="B49" t="s">
        <v>361</v>
      </c>
      <c r="C49" s="1">
        <v>35615</v>
      </c>
      <c r="D49" s="6">
        <v>196</v>
      </c>
    </row>
    <row r="50" spans="1:4" x14ac:dyDescent="0.3">
      <c r="A50" t="s">
        <v>80</v>
      </c>
      <c r="B50" t="s">
        <v>362</v>
      </c>
      <c r="C50" s="1">
        <v>37631</v>
      </c>
      <c r="D50" s="6">
        <v>192</v>
      </c>
    </row>
    <row r="51" spans="1:4" x14ac:dyDescent="0.3">
      <c r="A51" t="s">
        <v>139</v>
      </c>
      <c r="B51" t="s">
        <v>433</v>
      </c>
      <c r="C51" s="1">
        <v>34768</v>
      </c>
      <c r="D51" s="8">
        <v>206</v>
      </c>
    </row>
    <row r="52" spans="1:4" x14ac:dyDescent="0.3">
      <c r="A52" t="s">
        <v>140</v>
      </c>
      <c r="B52" t="s">
        <v>434</v>
      </c>
      <c r="C52" s="1">
        <v>34928</v>
      </c>
      <c r="D52" s="8">
        <v>208</v>
      </c>
    </row>
    <row r="53" spans="1:4" x14ac:dyDescent="0.3">
      <c r="A53" t="s">
        <v>141</v>
      </c>
      <c r="B53" t="s">
        <v>435</v>
      </c>
      <c r="C53" s="1">
        <v>35731</v>
      </c>
      <c r="D53" s="8">
        <v>215</v>
      </c>
    </row>
    <row r="54" spans="1:4" x14ac:dyDescent="0.3">
      <c r="A54" t="s">
        <v>144</v>
      </c>
      <c r="B54" t="s">
        <v>436</v>
      </c>
      <c r="C54" s="1">
        <v>30461</v>
      </c>
      <c r="D54" s="8">
        <v>191</v>
      </c>
    </row>
    <row r="55" spans="1:4" x14ac:dyDescent="0.3">
      <c r="A55" t="s">
        <v>145</v>
      </c>
      <c r="B55" t="s">
        <v>437</v>
      </c>
      <c r="C55" s="1">
        <v>33452</v>
      </c>
      <c r="D55" s="8">
        <v>183</v>
      </c>
    </row>
    <row r="56" spans="1:4" x14ac:dyDescent="0.3">
      <c r="A56" t="s">
        <v>147</v>
      </c>
      <c r="B56" t="s">
        <v>438</v>
      </c>
      <c r="C56" s="1">
        <v>35086</v>
      </c>
      <c r="D56" s="8">
        <v>192</v>
      </c>
    </row>
    <row r="57" spans="1:4" x14ac:dyDescent="0.3">
      <c r="A57" t="s">
        <v>370</v>
      </c>
      <c r="B57" t="s">
        <v>439</v>
      </c>
      <c r="C57" s="1">
        <v>34124</v>
      </c>
      <c r="D57" s="8">
        <v>186</v>
      </c>
    </row>
    <row r="58" spans="1:4" x14ac:dyDescent="0.3">
      <c r="A58" t="s">
        <v>148</v>
      </c>
      <c r="B58" t="s">
        <v>440</v>
      </c>
      <c r="C58" s="1">
        <v>33832</v>
      </c>
      <c r="D58" s="8">
        <v>200</v>
      </c>
    </row>
    <row r="59" spans="1:4" x14ac:dyDescent="0.3">
      <c r="A59" t="s">
        <v>149</v>
      </c>
      <c r="B59" t="s">
        <v>441</v>
      </c>
      <c r="C59" s="1">
        <v>35569</v>
      </c>
      <c r="D59" s="8">
        <v>200</v>
      </c>
    </row>
    <row r="60" spans="1:4" x14ac:dyDescent="0.3">
      <c r="A60" t="s">
        <v>150</v>
      </c>
      <c r="B60" t="s">
        <v>442</v>
      </c>
      <c r="C60" s="1">
        <v>32768</v>
      </c>
      <c r="D60" s="8">
        <v>202.99999999999997</v>
      </c>
    </row>
    <row r="61" spans="1:4" x14ac:dyDescent="0.3">
      <c r="A61" t="s">
        <v>151</v>
      </c>
      <c r="B61" t="s">
        <v>443</v>
      </c>
      <c r="C61" s="1">
        <v>31386</v>
      </c>
      <c r="D61" s="8">
        <v>200.99999999999997</v>
      </c>
    </row>
    <row r="62" spans="1:4" x14ac:dyDescent="0.3">
      <c r="A62" t="s">
        <v>152</v>
      </c>
      <c r="B62" t="s">
        <v>444</v>
      </c>
      <c r="C62" s="1">
        <v>37321</v>
      </c>
      <c r="D62" s="8">
        <v>202.99999999999997</v>
      </c>
    </row>
    <row r="63" spans="1:4" x14ac:dyDescent="0.3">
      <c r="A63" t="s">
        <v>153</v>
      </c>
      <c r="B63" t="s">
        <v>445</v>
      </c>
      <c r="C63" s="1">
        <v>32600</v>
      </c>
      <c r="D63" s="8">
        <v>217</v>
      </c>
    </row>
    <row r="64" spans="1:4" x14ac:dyDescent="0.3">
      <c r="A64" t="s">
        <v>154</v>
      </c>
      <c r="B64" t="s">
        <v>446</v>
      </c>
      <c r="C64" s="1">
        <v>35192</v>
      </c>
      <c r="D64" s="8">
        <v>208</v>
      </c>
    </row>
    <row r="65" spans="1:4" x14ac:dyDescent="0.3">
      <c r="A65" t="s">
        <v>155</v>
      </c>
      <c r="B65" t="s">
        <v>447</v>
      </c>
      <c r="C65" s="1">
        <v>33961</v>
      </c>
      <c r="D65" s="8">
        <v>183</v>
      </c>
    </row>
    <row r="66" spans="1:4" x14ac:dyDescent="0.3">
      <c r="A66" t="s">
        <v>156</v>
      </c>
      <c r="B66" t="s">
        <v>448</v>
      </c>
      <c r="C66" s="1">
        <v>34447</v>
      </c>
      <c r="D66" s="8">
        <v>190</v>
      </c>
    </row>
    <row r="67" spans="1:4" x14ac:dyDescent="0.3">
      <c r="A67" t="s">
        <v>157</v>
      </c>
      <c r="B67" t="s">
        <v>449</v>
      </c>
      <c r="C67" s="1">
        <v>36626</v>
      </c>
      <c r="D67" s="8">
        <v>190</v>
      </c>
    </row>
    <row r="68" spans="1:4" x14ac:dyDescent="0.3">
      <c r="A68" t="s">
        <v>158</v>
      </c>
      <c r="B68" t="s">
        <v>450</v>
      </c>
      <c r="C68" s="1">
        <v>35667</v>
      </c>
      <c r="D68" s="8">
        <v>191</v>
      </c>
    </row>
    <row r="69" spans="1:4" x14ac:dyDescent="0.3">
      <c r="A69" t="s">
        <v>159</v>
      </c>
      <c r="B69" t="s">
        <v>451</v>
      </c>
      <c r="C69" s="1">
        <v>33957</v>
      </c>
      <c r="D69" s="8">
        <v>193</v>
      </c>
    </row>
    <row r="70" spans="1:4" x14ac:dyDescent="0.3">
      <c r="A70" t="s">
        <v>160</v>
      </c>
      <c r="B70" t="s">
        <v>452</v>
      </c>
      <c r="C70" s="1">
        <v>32885</v>
      </c>
      <c r="D70" s="8">
        <v>197</v>
      </c>
    </row>
    <row r="71" spans="1:4" x14ac:dyDescent="0.3">
      <c r="A71" t="s">
        <v>163</v>
      </c>
      <c r="B71" t="s">
        <v>453</v>
      </c>
      <c r="C71" s="1">
        <v>35446</v>
      </c>
      <c r="D71" s="8">
        <v>202.99999999999997</v>
      </c>
    </row>
    <row r="72" spans="1:4" x14ac:dyDescent="0.3">
      <c r="A72" t="s">
        <v>165</v>
      </c>
      <c r="B72" t="s">
        <v>454</v>
      </c>
      <c r="C72" s="1">
        <v>35093</v>
      </c>
      <c r="D72" s="8">
        <v>202</v>
      </c>
    </row>
    <row r="73" spans="1:4" x14ac:dyDescent="0.3">
      <c r="A73" t="s">
        <v>166</v>
      </c>
      <c r="B73" t="s">
        <v>455</v>
      </c>
      <c r="C73" s="1">
        <v>34481</v>
      </c>
      <c r="D73" s="8">
        <v>210</v>
      </c>
    </row>
    <row r="74" spans="1:4" x14ac:dyDescent="0.3">
      <c r="A74" t="s">
        <v>167</v>
      </c>
      <c r="B74" t="s">
        <v>456</v>
      </c>
      <c r="C74" s="1">
        <v>33859</v>
      </c>
      <c r="D74" s="8">
        <v>208</v>
      </c>
    </row>
    <row r="75" spans="1:4" x14ac:dyDescent="0.3">
      <c r="A75" t="s">
        <v>168</v>
      </c>
      <c r="B75" t="s">
        <v>457</v>
      </c>
      <c r="C75" s="1">
        <v>37940</v>
      </c>
      <c r="D75" s="8">
        <v>208</v>
      </c>
    </row>
    <row r="76" spans="1:4" x14ac:dyDescent="0.3">
      <c r="A76" t="s">
        <v>169</v>
      </c>
      <c r="B76" t="s">
        <v>458</v>
      </c>
      <c r="C76" s="1">
        <v>36911</v>
      </c>
      <c r="D76" s="8">
        <v>192</v>
      </c>
    </row>
    <row r="77" spans="1:4" x14ac:dyDescent="0.3">
      <c r="A77" t="s">
        <v>170</v>
      </c>
      <c r="B77" t="s">
        <v>459</v>
      </c>
      <c r="C77" s="1">
        <v>33723</v>
      </c>
      <c r="D77" s="8">
        <v>181</v>
      </c>
    </row>
    <row r="78" spans="1:4" x14ac:dyDescent="0.3">
      <c r="A78" t="s">
        <v>171</v>
      </c>
      <c r="B78" t="s">
        <v>460</v>
      </c>
      <c r="C78" s="1">
        <v>38208</v>
      </c>
      <c r="D78" s="8">
        <v>191</v>
      </c>
    </row>
    <row r="79" spans="1:4" x14ac:dyDescent="0.3">
      <c r="A79" t="s">
        <v>178</v>
      </c>
      <c r="B79" t="s">
        <v>461</v>
      </c>
      <c r="C79" s="1">
        <v>35930</v>
      </c>
      <c r="D79" s="8">
        <v>209</v>
      </c>
    </row>
    <row r="80" spans="1:4" x14ac:dyDescent="0.3">
      <c r="A80" t="s">
        <v>180</v>
      </c>
      <c r="B80" t="s">
        <v>462</v>
      </c>
      <c r="C80" s="1">
        <v>33872</v>
      </c>
      <c r="D80" s="8">
        <v>208</v>
      </c>
    </row>
    <row r="81" spans="1:4" x14ac:dyDescent="0.3">
      <c r="A81" t="s">
        <v>181</v>
      </c>
      <c r="B81" t="s">
        <v>463</v>
      </c>
      <c r="C81" s="1">
        <v>34500</v>
      </c>
      <c r="D81" s="8">
        <v>195</v>
      </c>
    </row>
    <row r="82" spans="1:4" x14ac:dyDescent="0.3">
      <c r="A82" t="s">
        <v>183</v>
      </c>
      <c r="B82" t="s">
        <v>464</v>
      </c>
      <c r="C82" s="1">
        <v>33467</v>
      </c>
      <c r="D82" s="8">
        <v>186</v>
      </c>
    </row>
    <row r="83" spans="1:4" x14ac:dyDescent="0.3">
      <c r="A83" t="s">
        <v>184</v>
      </c>
      <c r="B83" t="s">
        <v>465</v>
      </c>
      <c r="C83" s="1">
        <v>35210</v>
      </c>
      <c r="D83" s="8">
        <v>191</v>
      </c>
    </row>
    <row r="84" spans="1:4" x14ac:dyDescent="0.3">
      <c r="A84" t="s">
        <v>187</v>
      </c>
      <c r="B84" t="s">
        <v>466</v>
      </c>
      <c r="C84" s="1">
        <v>35819</v>
      </c>
      <c r="D84" s="8">
        <v>195</v>
      </c>
    </row>
    <row r="85" spans="1:4" x14ac:dyDescent="0.3">
      <c r="A85" t="s">
        <v>190</v>
      </c>
      <c r="B85" t="s">
        <v>467</v>
      </c>
      <c r="C85" s="1">
        <v>34338</v>
      </c>
      <c r="D85" s="8">
        <v>200.99999999999997</v>
      </c>
    </row>
    <row r="86" spans="1:4" x14ac:dyDescent="0.3">
      <c r="A86" t="s">
        <v>192</v>
      </c>
      <c r="B86" t="s">
        <v>468</v>
      </c>
      <c r="C86" s="1">
        <v>36835</v>
      </c>
      <c r="D86" s="8">
        <v>217</v>
      </c>
    </row>
    <row r="87" spans="1:4" x14ac:dyDescent="0.3">
      <c r="A87" t="s">
        <v>193</v>
      </c>
      <c r="B87" t="s">
        <v>469</v>
      </c>
      <c r="C87" s="1">
        <v>35524</v>
      </c>
      <c r="D87" s="8">
        <v>206.99999999999997</v>
      </c>
    </row>
    <row r="88" spans="1:4" x14ac:dyDescent="0.3">
      <c r="A88" t="s">
        <v>199</v>
      </c>
      <c r="B88" t="s">
        <v>470</v>
      </c>
      <c r="C88" s="1">
        <v>37146</v>
      </c>
      <c r="D88" s="8">
        <v>190</v>
      </c>
    </row>
    <row r="89" spans="1:4" x14ac:dyDescent="0.3">
      <c r="A89" t="s">
        <v>200</v>
      </c>
      <c r="B89" t="s">
        <v>471</v>
      </c>
      <c r="C89" s="1">
        <v>36221</v>
      </c>
      <c r="D89" s="8">
        <v>200.99999999999997</v>
      </c>
    </row>
    <row r="90" spans="1:4" x14ac:dyDescent="0.3">
      <c r="A90" t="s">
        <v>201</v>
      </c>
      <c r="B90" t="s">
        <v>472</v>
      </c>
      <c r="C90" s="1">
        <v>35759</v>
      </c>
      <c r="D90" s="8">
        <v>198</v>
      </c>
    </row>
    <row r="91" spans="1:4" x14ac:dyDescent="0.3">
      <c r="A91" t="s">
        <v>202</v>
      </c>
      <c r="B91" t="s">
        <v>473</v>
      </c>
      <c r="C91" s="1">
        <v>36290</v>
      </c>
      <c r="D91" s="8">
        <v>202</v>
      </c>
    </row>
    <row r="92" spans="1:4" x14ac:dyDescent="0.3">
      <c r="A92" t="s">
        <v>205</v>
      </c>
      <c r="B92" t="s">
        <v>474</v>
      </c>
      <c r="C92" s="1">
        <v>36148</v>
      </c>
      <c r="D92" s="8">
        <v>206</v>
      </c>
    </row>
    <row r="93" spans="1:4" x14ac:dyDescent="0.3">
      <c r="A93" t="s">
        <v>206</v>
      </c>
      <c r="B93" t="s">
        <v>475</v>
      </c>
      <c r="C93" s="1">
        <v>34627</v>
      </c>
      <c r="D93" s="8">
        <v>208</v>
      </c>
    </row>
    <row r="94" spans="1:4" x14ac:dyDescent="0.3">
      <c r="A94" t="s">
        <v>208</v>
      </c>
      <c r="B94" t="s">
        <v>476</v>
      </c>
      <c r="C94" s="1">
        <v>36917</v>
      </c>
      <c r="D94" s="8">
        <v>197</v>
      </c>
    </row>
    <row r="95" spans="1:4" x14ac:dyDescent="0.3">
      <c r="A95" t="s">
        <v>209</v>
      </c>
      <c r="B95" t="s">
        <v>477</v>
      </c>
      <c r="C95" s="1">
        <v>34156</v>
      </c>
      <c r="D95" s="8">
        <v>191</v>
      </c>
    </row>
    <row r="96" spans="1:4" x14ac:dyDescent="0.3">
      <c r="A96" t="s">
        <v>210</v>
      </c>
      <c r="B96" t="s">
        <v>478</v>
      </c>
      <c r="C96" s="1">
        <v>36340</v>
      </c>
      <c r="D96" s="8">
        <v>193</v>
      </c>
    </row>
    <row r="97" spans="1:4" x14ac:dyDescent="0.3">
      <c r="A97" t="s">
        <v>213</v>
      </c>
      <c r="B97" t="s">
        <v>479</v>
      </c>
      <c r="C97" s="1">
        <v>34066</v>
      </c>
      <c r="D97" s="8">
        <v>200.99999999999997</v>
      </c>
    </row>
    <row r="98" spans="1:4" x14ac:dyDescent="0.3">
      <c r="A98" t="s">
        <v>214</v>
      </c>
      <c r="B98" t="s">
        <v>480</v>
      </c>
      <c r="C98" s="1">
        <v>39238</v>
      </c>
      <c r="D98" s="8">
        <v>195</v>
      </c>
    </row>
    <row r="99" spans="1:4" x14ac:dyDescent="0.3">
      <c r="A99" t="s">
        <v>217</v>
      </c>
      <c r="B99" t="s">
        <v>481</v>
      </c>
      <c r="C99" s="1">
        <v>32523</v>
      </c>
      <c r="D99" s="8">
        <v>200</v>
      </c>
    </row>
    <row r="100" spans="1:4" x14ac:dyDescent="0.3">
      <c r="A100" t="s">
        <v>219</v>
      </c>
      <c r="B100" t="s">
        <v>482</v>
      </c>
      <c r="C100" s="1">
        <v>34994</v>
      </c>
      <c r="D100" s="8">
        <v>213</v>
      </c>
    </row>
    <row r="101" spans="1:4" x14ac:dyDescent="0.3">
      <c r="A101" t="s">
        <v>220</v>
      </c>
      <c r="B101" t="s">
        <v>483</v>
      </c>
      <c r="C101" s="1">
        <v>34947</v>
      </c>
      <c r="D101" s="8">
        <v>188</v>
      </c>
    </row>
    <row r="102" spans="1:4" x14ac:dyDescent="0.3">
      <c r="A102" t="s">
        <v>221</v>
      </c>
      <c r="B102" t="s">
        <v>484</v>
      </c>
      <c r="C102" s="1">
        <v>34136</v>
      </c>
      <c r="D102" s="8">
        <v>192</v>
      </c>
    </row>
    <row r="103" spans="1:4" x14ac:dyDescent="0.3">
      <c r="A103" t="s">
        <v>222</v>
      </c>
      <c r="B103" t="s">
        <v>485</v>
      </c>
      <c r="C103" s="1">
        <v>35478</v>
      </c>
      <c r="D103" s="8">
        <v>193</v>
      </c>
    </row>
    <row r="104" spans="1:4" x14ac:dyDescent="0.3">
      <c r="A104" t="s">
        <v>223</v>
      </c>
      <c r="B104" t="s">
        <v>486</v>
      </c>
      <c r="C104" s="1">
        <v>36332</v>
      </c>
      <c r="D104" s="8">
        <v>190</v>
      </c>
    </row>
    <row r="105" spans="1:4" x14ac:dyDescent="0.3">
      <c r="A105" t="s">
        <v>225</v>
      </c>
      <c r="B105" t="s">
        <v>487</v>
      </c>
      <c r="C105" s="1">
        <v>34030</v>
      </c>
      <c r="D105" s="8">
        <v>204.99999999999997</v>
      </c>
    </row>
    <row r="106" spans="1:4" x14ac:dyDescent="0.3">
      <c r="A106" t="s">
        <v>226</v>
      </c>
      <c r="B106" t="s">
        <v>488</v>
      </c>
      <c r="C106" s="1">
        <v>36239</v>
      </c>
      <c r="D106" s="8">
        <v>202.99999999999997</v>
      </c>
    </row>
    <row r="107" spans="1:4" x14ac:dyDescent="0.3">
      <c r="A107" t="s">
        <v>421</v>
      </c>
      <c r="B107" t="s">
        <v>489</v>
      </c>
      <c r="C107" s="1">
        <v>36722</v>
      </c>
      <c r="D107" s="8">
        <v>206</v>
      </c>
    </row>
    <row r="108" spans="1:4" x14ac:dyDescent="0.3">
      <c r="A108" t="s">
        <v>229</v>
      </c>
      <c r="B108" t="s">
        <v>490</v>
      </c>
      <c r="C108" s="1">
        <v>33601</v>
      </c>
      <c r="D108" s="8">
        <v>208</v>
      </c>
    </row>
    <row r="109" spans="1:4" x14ac:dyDescent="0.3">
      <c r="A109" t="s">
        <v>231</v>
      </c>
      <c r="B109" t="s">
        <v>491</v>
      </c>
      <c r="C109" s="1">
        <v>34444</v>
      </c>
      <c r="D109" s="8">
        <v>190</v>
      </c>
    </row>
    <row r="110" spans="1:4" x14ac:dyDescent="0.3">
      <c r="A110" t="s">
        <v>232</v>
      </c>
      <c r="B110" t="s">
        <v>492</v>
      </c>
      <c r="C110" s="1">
        <v>33848</v>
      </c>
      <c r="D110" s="8">
        <v>193</v>
      </c>
    </row>
    <row r="111" spans="1:4" x14ac:dyDescent="0.3">
      <c r="A111" t="s">
        <v>233</v>
      </c>
      <c r="B111" t="s">
        <v>493</v>
      </c>
      <c r="C111" s="1">
        <v>32745</v>
      </c>
      <c r="D111" s="8">
        <v>193</v>
      </c>
    </row>
    <row r="112" spans="1:4" x14ac:dyDescent="0.3">
      <c r="A112" t="s">
        <v>235</v>
      </c>
      <c r="B112" t="s">
        <v>494</v>
      </c>
      <c r="C112" s="1">
        <v>35655</v>
      </c>
      <c r="D112" s="8">
        <v>190</v>
      </c>
    </row>
    <row r="113" spans="1:4" x14ac:dyDescent="0.3">
      <c r="A113" t="s">
        <v>238</v>
      </c>
      <c r="B113" t="s">
        <v>495</v>
      </c>
      <c r="C113" s="1">
        <v>37705</v>
      </c>
      <c r="D113" s="8">
        <v>202.99999999999997</v>
      </c>
    </row>
    <row r="114" spans="1:4" x14ac:dyDescent="0.3">
      <c r="A114" t="s">
        <v>240</v>
      </c>
      <c r="B114" t="s">
        <v>496</v>
      </c>
      <c r="C114" s="1">
        <v>33780</v>
      </c>
      <c r="D114" s="8">
        <v>219</v>
      </c>
    </row>
    <row r="115" spans="1:4" x14ac:dyDescent="0.3">
      <c r="A115" t="s">
        <v>245</v>
      </c>
      <c r="B115" t="s">
        <v>497</v>
      </c>
      <c r="C115" s="1">
        <v>34577</v>
      </c>
      <c r="D115" s="8">
        <v>193</v>
      </c>
    </row>
    <row r="116" spans="1:4" x14ac:dyDescent="0.3">
      <c r="A116" t="s">
        <v>247</v>
      </c>
      <c r="B116" t="s">
        <v>498</v>
      </c>
      <c r="C116" s="1">
        <v>34048</v>
      </c>
      <c r="D116" s="8">
        <v>200.99999999999997</v>
      </c>
    </row>
    <row r="117" spans="1:4" x14ac:dyDescent="0.3">
      <c r="A117" t="s">
        <v>252</v>
      </c>
      <c r="B117" t="s">
        <v>499</v>
      </c>
      <c r="C117" s="1">
        <v>36555</v>
      </c>
      <c r="D117" s="8">
        <v>208</v>
      </c>
    </row>
    <row r="118" spans="1:4" x14ac:dyDescent="0.3">
      <c r="A118" t="s">
        <v>262</v>
      </c>
      <c r="B118" t="s">
        <v>511</v>
      </c>
      <c r="C118" s="1">
        <v>35633</v>
      </c>
      <c r="D118" s="8">
        <v>211</v>
      </c>
    </row>
    <row r="119" spans="1:4" x14ac:dyDescent="0.3">
      <c r="A119" t="s">
        <v>74</v>
      </c>
      <c r="B119" t="s">
        <v>513</v>
      </c>
      <c r="C119" s="1">
        <v>37569</v>
      </c>
      <c r="D119" s="8">
        <v>211</v>
      </c>
    </row>
    <row r="120" spans="1:4" x14ac:dyDescent="0.3">
      <c r="A120" t="s">
        <v>86</v>
      </c>
      <c r="B120" t="s">
        <v>514</v>
      </c>
      <c r="C120" s="1">
        <v>36722</v>
      </c>
      <c r="D120" s="8">
        <v>198</v>
      </c>
    </row>
    <row r="121" spans="1:4" x14ac:dyDescent="0.3">
      <c r="A121" t="s">
        <v>113</v>
      </c>
      <c r="B121" t="s">
        <v>515</v>
      </c>
      <c r="C121" s="1">
        <v>36262</v>
      </c>
      <c r="D121" s="8">
        <v>198</v>
      </c>
    </row>
    <row r="122" spans="1:4" x14ac:dyDescent="0.3">
      <c r="A122" t="s">
        <v>198</v>
      </c>
      <c r="B122" t="s">
        <v>516</v>
      </c>
      <c r="C122" s="1">
        <v>36166</v>
      </c>
      <c r="D122" s="8">
        <v>188</v>
      </c>
    </row>
    <row r="123" spans="1:4" x14ac:dyDescent="0.3">
      <c r="A123" t="s">
        <v>112</v>
      </c>
      <c r="B123" t="s">
        <v>517</v>
      </c>
      <c r="C123" s="1">
        <v>36226</v>
      </c>
      <c r="D123" s="8">
        <v>198</v>
      </c>
    </row>
    <row r="124" spans="1:4" x14ac:dyDescent="0.3">
      <c r="A124" t="s">
        <v>115</v>
      </c>
      <c r="B124" t="s">
        <v>518</v>
      </c>
      <c r="C124" s="1">
        <v>36938</v>
      </c>
      <c r="D124" s="8">
        <v>202.99999999999997</v>
      </c>
    </row>
    <row r="125" spans="1:4" x14ac:dyDescent="0.3">
      <c r="A125" t="s">
        <v>215</v>
      </c>
      <c r="B125" t="s">
        <v>519</v>
      </c>
      <c r="C125" s="1">
        <v>35530</v>
      </c>
      <c r="D125" s="8">
        <v>202.99999999999997</v>
      </c>
    </row>
    <row r="126" spans="1:4" x14ac:dyDescent="0.3">
      <c r="A126" t="s">
        <v>133</v>
      </c>
      <c r="B126" t="s">
        <v>520</v>
      </c>
      <c r="C126" s="1">
        <v>37439</v>
      </c>
      <c r="D126" s="8">
        <v>185</v>
      </c>
    </row>
    <row r="127" spans="1:4" x14ac:dyDescent="0.3">
      <c r="A127" t="s">
        <v>138</v>
      </c>
      <c r="B127" t="s">
        <v>521</v>
      </c>
      <c r="C127" s="1">
        <v>37357</v>
      </c>
      <c r="D127" s="8">
        <v>196</v>
      </c>
    </row>
    <row r="128" spans="1:4" x14ac:dyDescent="0.3">
      <c r="A128" t="s">
        <v>185</v>
      </c>
      <c r="B128" t="s">
        <v>522</v>
      </c>
      <c r="C128" s="1">
        <v>36744</v>
      </c>
      <c r="D128" s="8">
        <v>192</v>
      </c>
    </row>
    <row r="129" spans="1:4" x14ac:dyDescent="0.3">
      <c r="A129" t="s">
        <v>188</v>
      </c>
      <c r="B129" t="s">
        <v>523</v>
      </c>
      <c r="C129" s="1">
        <v>34570</v>
      </c>
      <c r="D129" s="8">
        <v>202</v>
      </c>
    </row>
    <row r="130" spans="1:4" x14ac:dyDescent="0.3">
      <c r="A130" t="s">
        <v>194</v>
      </c>
      <c r="B130" t="s">
        <v>524</v>
      </c>
      <c r="C130" s="1">
        <v>35179</v>
      </c>
      <c r="D130" s="8">
        <v>202.99999999999997</v>
      </c>
    </row>
    <row r="131" spans="1:4" x14ac:dyDescent="0.3">
      <c r="A131" t="s">
        <v>197</v>
      </c>
      <c r="B131" t="s">
        <v>525</v>
      </c>
      <c r="C131" s="1">
        <v>38270</v>
      </c>
      <c r="D131" s="8">
        <v>193</v>
      </c>
    </row>
    <row r="132" spans="1:4" x14ac:dyDescent="0.3">
      <c r="A132" t="s">
        <v>211</v>
      </c>
      <c r="B132" t="s">
        <v>526</v>
      </c>
      <c r="C132" s="1">
        <v>36859</v>
      </c>
      <c r="D132" s="8">
        <v>190</v>
      </c>
    </row>
    <row r="133" spans="1:4" x14ac:dyDescent="0.3">
      <c r="A133" t="s">
        <v>243</v>
      </c>
      <c r="B133" t="s">
        <v>527</v>
      </c>
      <c r="C133" s="1">
        <v>35176</v>
      </c>
      <c r="D133" s="8">
        <v>185</v>
      </c>
    </row>
    <row r="134" spans="1:4" x14ac:dyDescent="0.3">
      <c r="A134" t="s">
        <v>244</v>
      </c>
      <c r="B134" t="s">
        <v>528</v>
      </c>
      <c r="C134" s="1">
        <v>36038</v>
      </c>
      <c r="D134" s="8">
        <v>188</v>
      </c>
    </row>
    <row r="135" spans="1:4" x14ac:dyDescent="0.3">
      <c r="A135" t="s">
        <v>246</v>
      </c>
      <c r="B135" t="s">
        <v>529</v>
      </c>
      <c r="C135" s="1">
        <v>36485</v>
      </c>
      <c r="D135" s="8">
        <v>200</v>
      </c>
    </row>
    <row r="136" spans="1:4" x14ac:dyDescent="0.3">
      <c r="A136" t="s">
        <v>248</v>
      </c>
      <c r="B136" t="s">
        <v>530</v>
      </c>
      <c r="C136" s="1">
        <v>34074</v>
      </c>
      <c r="D136" s="8">
        <v>196</v>
      </c>
    </row>
    <row r="137" spans="1:4" x14ac:dyDescent="0.3">
      <c r="A137" t="s">
        <v>249</v>
      </c>
      <c r="B137" t="s">
        <v>531</v>
      </c>
      <c r="C137" s="1">
        <v>35544</v>
      </c>
      <c r="D137" s="8">
        <v>198</v>
      </c>
    </row>
    <row r="138" spans="1:4" x14ac:dyDescent="0.3">
      <c r="A138" t="s">
        <v>251</v>
      </c>
      <c r="B138" t="s">
        <v>532</v>
      </c>
      <c r="C138" s="1">
        <v>36415</v>
      </c>
      <c r="D138" s="8">
        <v>206.99999999999997</v>
      </c>
    </row>
    <row r="139" spans="1:4" x14ac:dyDescent="0.3">
      <c r="A139" t="s">
        <v>253</v>
      </c>
      <c r="B139" t="s">
        <v>533</v>
      </c>
      <c r="C139" s="1">
        <v>35915</v>
      </c>
      <c r="D139" s="8">
        <v>218.00000000000003</v>
      </c>
    </row>
    <row r="140" spans="1:4" x14ac:dyDescent="0.3">
      <c r="A140" t="s">
        <v>254</v>
      </c>
      <c r="B140" t="s">
        <v>534</v>
      </c>
      <c r="C140" s="1">
        <v>37307</v>
      </c>
      <c r="D140" s="8">
        <v>208</v>
      </c>
    </row>
    <row r="141" spans="1:4" x14ac:dyDescent="0.3">
      <c r="A141" t="s">
        <v>256</v>
      </c>
      <c r="B141" t="s">
        <v>535</v>
      </c>
      <c r="C141" s="1">
        <v>36213</v>
      </c>
      <c r="D141" s="8">
        <v>190</v>
      </c>
    </row>
    <row r="142" spans="1:4" x14ac:dyDescent="0.3">
      <c r="A142" t="s">
        <v>257</v>
      </c>
      <c r="B142" t="s">
        <v>536</v>
      </c>
      <c r="C142" s="1">
        <v>36697</v>
      </c>
      <c r="D142" s="8">
        <v>178</v>
      </c>
    </row>
    <row r="143" spans="1:4" x14ac:dyDescent="0.3">
      <c r="A143" t="s">
        <v>258</v>
      </c>
      <c r="B143" t="s">
        <v>537</v>
      </c>
      <c r="C143" s="1">
        <v>35267</v>
      </c>
      <c r="D143" s="8">
        <v>188</v>
      </c>
    </row>
    <row r="144" spans="1:4" x14ac:dyDescent="0.3">
      <c r="A144" t="s">
        <v>261</v>
      </c>
      <c r="B144" t="s">
        <v>538</v>
      </c>
      <c r="C144" s="1">
        <v>35626</v>
      </c>
      <c r="D144" s="8">
        <v>197</v>
      </c>
    </row>
    <row r="145" spans="1:4" x14ac:dyDescent="0.3">
      <c r="A145" t="s">
        <v>263</v>
      </c>
      <c r="B145" t="s">
        <v>539</v>
      </c>
      <c r="C145" s="1">
        <v>35269</v>
      </c>
      <c r="D145" s="8">
        <v>206</v>
      </c>
    </row>
    <row r="146" spans="1:4" x14ac:dyDescent="0.3">
      <c r="A146" t="s">
        <v>264</v>
      </c>
      <c r="B146" t="s">
        <v>540</v>
      </c>
      <c r="C146" s="1">
        <v>36168</v>
      </c>
      <c r="D146" s="8">
        <v>202</v>
      </c>
    </row>
    <row r="147" spans="1:4" x14ac:dyDescent="0.3">
      <c r="A147" t="s">
        <v>65</v>
      </c>
      <c r="B147" t="s">
        <v>512</v>
      </c>
      <c r="C147" s="1">
        <v>38821</v>
      </c>
      <c r="D147" s="8">
        <v>192</v>
      </c>
    </row>
    <row r="148" spans="1:4" x14ac:dyDescent="0.3">
      <c r="A148" t="s">
        <v>234</v>
      </c>
      <c r="B148" t="s">
        <v>541</v>
      </c>
      <c r="C148" s="1">
        <v>34688</v>
      </c>
      <c r="D148" s="8">
        <v>198</v>
      </c>
    </row>
    <row r="149" spans="1:4" x14ac:dyDescent="0.3">
      <c r="A149" t="s">
        <v>103</v>
      </c>
      <c r="B149" t="s">
        <v>512</v>
      </c>
      <c r="C149" s="1">
        <v>35662</v>
      </c>
      <c r="D149" s="8">
        <v>208</v>
      </c>
    </row>
    <row r="150" spans="1:4" x14ac:dyDescent="0.3">
      <c r="A150" t="s">
        <v>132</v>
      </c>
      <c r="B150" t="s">
        <v>512</v>
      </c>
      <c r="C150" s="1">
        <v>36707</v>
      </c>
      <c r="D150" s="8">
        <v>190</v>
      </c>
    </row>
    <row r="151" spans="1:4" x14ac:dyDescent="0.3">
      <c r="A151" t="s">
        <v>134</v>
      </c>
      <c r="B151" t="s">
        <v>512</v>
      </c>
      <c r="C151" s="1">
        <v>36037</v>
      </c>
      <c r="D151" s="8">
        <v>190</v>
      </c>
    </row>
    <row r="152" spans="1:4" x14ac:dyDescent="0.3">
      <c r="A152" t="s">
        <v>161</v>
      </c>
      <c r="B152" t="s">
        <v>512</v>
      </c>
      <c r="C152" s="1">
        <v>37481</v>
      </c>
      <c r="D152" s="8">
        <v>198</v>
      </c>
    </row>
    <row r="153" spans="1:4" x14ac:dyDescent="0.3">
      <c r="A153" t="s">
        <v>174</v>
      </c>
      <c r="B153" t="s">
        <v>512</v>
      </c>
      <c r="C153" s="1">
        <v>37223</v>
      </c>
      <c r="D153" s="8">
        <v>200</v>
      </c>
    </row>
    <row r="154" spans="1:4" x14ac:dyDescent="0.3">
      <c r="A154" t="s">
        <v>191</v>
      </c>
      <c r="B154" t="s">
        <v>512</v>
      </c>
      <c r="C154" s="1">
        <v>35325</v>
      </c>
      <c r="D154" s="8">
        <v>204</v>
      </c>
    </row>
    <row r="155" spans="1:4" x14ac:dyDescent="0.3">
      <c r="A155" t="s">
        <v>196</v>
      </c>
      <c r="B155" t="s">
        <v>512</v>
      </c>
      <c r="C155" s="1">
        <v>36680</v>
      </c>
      <c r="D155" s="8">
        <v>190</v>
      </c>
    </row>
    <row r="156" spans="1:4" x14ac:dyDescent="0.3">
      <c r="A156" t="s">
        <v>242</v>
      </c>
      <c r="B156" t="s">
        <v>512</v>
      </c>
      <c r="C156" s="1">
        <v>35673</v>
      </c>
      <c r="D156" s="8">
        <v>183</v>
      </c>
    </row>
    <row r="157" spans="1:4" x14ac:dyDescent="0.3">
      <c r="A157" t="s">
        <v>126</v>
      </c>
      <c r="B157" t="s">
        <v>512</v>
      </c>
      <c r="C157" s="1">
        <v>34932</v>
      </c>
      <c r="D157" s="8">
        <v>208</v>
      </c>
    </row>
    <row r="158" spans="1:4" x14ac:dyDescent="0.3">
      <c r="A158" t="s">
        <v>509</v>
      </c>
      <c r="B158" t="s">
        <v>512</v>
      </c>
      <c r="C158" s="1">
        <v>36897</v>
      </c>
      <c r="D158" s="8">
        <v>196</v>
      </c>
    </row>
    <row r="159" spans="1:4" x14ac:dyDescent="0.3">
      <c r="A159" t="s">
        <v>173</v>
      </c>
      <c r="B159" t="s">
        <v>512</v>
      </c>
      <c r="C159" s="1">
        <v>36369</v>
      </c>
      <c r="D159" s="8">
        <v>195</v>
      </c>
    </row>
    <row r="160" spans="1:4" x14ac:dyDescent="0.3">
      <c r="A160" t="s">
        <v>176</v>
      </c>
      <c r="B160" t="s">
        <v>512</v>
      </c>
      <c r="C160" s="1">
        <v>36534</v>
      </c>
      <c r="D160" s="8">
        <v>198</v>
      </c>
    </row>
    <row r="161" spans="1:4" x14ac:dyDescent="0.3">
      <c r="A161" t="s">
        <v>186</v>
      </c>
      <c r="B161" t="s">
        <v>512</v>
      </c>
      <c r="C161" s="1">
        <v>36061</v>
      </c>
      <c r="D161" s="8">
        <v>196</v>
      </c>
    </row>
    <row r="162" spans="1:4" x14ac:dyDescent="0.3">
      <c r="A162" t="s">
        <v>195</v>
      </c>
      <c r="B162" t="s">
        <v>512</v>
      </c>
      <c r="C162" s="1">
        <v>34628</v>
      </c>
      <c r="D162" s="8">
        <v>183</v>
      </c>
    </row>
    <row r="163" spans="1:4" x14ac:dyDescent="0.3">
      <c r="A163" t="s">
        <v>204</v>
      </c>
      <c r="B163" t="s">
        <v>512</v>
      </c>
      <c r="C163" s="1">
        <v>36689</v>
      </c>
      <c r="D163" s="8">
        <v>206</v>
      </c>
    </row>
    <row r="164" spans="1:4" x14ac:dyDescent="0.3">
      <c r="A164" t="s">
        <v>227</v>
      </c>
      <c r="B164" t="s">
        <v>512</v>
      </c>
      <c r="C164" s="1">
        <v>35914</v>
      </c>
      <c r="D164" s="8">
        <v>208</v>
      </c>
    </row>
    <row r="165" spans="1:4" x14ac:dyDescent="0.3">
      <c r="A165" t="s">
        <v>255</v>
      </c>
      <c r="B165" t="s">
        <v>512</v>
      </c>
      <c r="C165" s="1">
        <v>36085</v>
      </c>
      <c r="D165" s="8">
        <v>190</v>
      </c>
    </row>
    <row r="166" spans="1:4" x14ac:dyDescent="0.3">
      <c r="A166" t="s">
        <v>259</v>
      </c>
      <c r="B166" t="s">
        <v>512</v>
      </c>
      <c r="C166" s="1">
        <v>34336</v>
      </c>
      <c r="D166" s="8">
        <v>196</v>
      </c>
    </row>
    <row r="167" spans="1:4" x14ac:dyDescent="0.3">
      <c r="A167" t="s">
        <v>91</v>
      </c>
      <c r="B167" t="s">
        <v>512</v>
      </c>
      <c r="C167" s="1">
        <v>36186</v>
      </c>
      <c r="D167" s="8">
        <v>191</v>
      </c>
    </row>
    <row r="168" spans="1:4" x14ac:dyDescent="0.3">
      <c r="A168" t="s">
        <v>116</v>
      </c>
      <c r="B168" t="s">
        <v>512</v>
      </c>
      <c r="C168" s="1">
        <v>36648</v>
      </c>
      <c r="D168" s="8">
        <v>202.99999999999997</v>
      </c>
    </row>
    <row r="169" spans="1:4" x14ac:dyDescent="0.3">
      <c r="A169" t="s">
        <v>128</v>
      </c>
      <c r="B169" t="s">
        <v>512</v>
      </c>
      <c r="C169" s="1">
        <v>37714</v>
      </c>
      <c r="D169" s="8">
        <v>212</v>
      </c>
    </row>
    <row r="170" spans="1:4" x14ac:dyDescent="0.3">
      <c r="A170" t="s">
        <v>203</v>
      </c>
      <c r="B170" t="s">
        <v>512</v>
      </c>
      <c r="C170" s="1">
        <v>36371</v>
      </c>
      <c r="D170" s="8">
        <v>198</v>
      </c>
    </row>
    <row r="171" spans="1:4" x14ac:dyDescent="0.3">
      <c r="A171" t="s">
        <v>265</v>
      </c>
      <c r="B171" t="s">
        <v>512</v>
      </c>
      <c r="C171" s="1">
        <v>36760</v>
      </c>
      <c r="D171" s="8">
        <v>212</v>
      </c>
    </row>
    <row r="172" spans="1:4" x14ac:dyDescent="0.3">
      <c r="A172" t="s">
        <v>81</v>
      </c>
      <c r="B172" t="s">
        <v>542</v>
      </c>
      <c r="C172" s="1">
        <v>36741</v>
      </c>
      <c r="D172" s="8">
        <v>193</v>
      </c>
    </row>
    <row r="173" spans="1:4" x14ac:dyDescent="0.3">
      <c r="A173" t="s">
        <v>237</v>
      </c>
      <c r="B173" t="s">
        <v>543</v>
      </c>
      <c r="C173" s="1">
        <v>35703</v>
      </c>
      <c r="D173" s="8">
        <v>200.99999999999997</v>
      </c>
    </row>
    <row r="174" spans="1:4" x14ac:dyDescent="0.3">
      <c r="A174" t="s">
        <v>250</v>
      </c>
      <c r="B174" t="s">
        <v>544</v>
      </c>
      <c r="C174" s="1">
        <v>37175</v>
      </c>
      <c r="D174" s="8">
        <v>206</v>
      </c>
    </row>
    <row r="175" spans="1:4" x14ac:dyDescent="0.3">
      <c r="A175" t="s">
        <v>189</v>
      </c>
      <c r="B175" t="s">
        <v>546</v>
      </c>
      <c r="C175" s="1">
        <v>36761</v>
      </c>
      <c r="D175" s="8">
        <v>200.99999999999997</v>
      </c>
    </row>
    <row r="176" spans="1:4" x14ac:dyDescent="0.3">
      <c r="A176" t="s">
        <v>230</v>
      </c>
      <c r="B176" t="s">
        <v>545</v>
      </c>
      <c r="C176" s="1">
        <v>36857</v>
      </c>
      <c r="D176" s="8">
        <v>185</v>
      </c>
    </row>
    <row r="177" spans="1:4" x14ac:dyDescent="0.3">
      <c r="A177" t="s">
        <v>260</v>
      </c>
      <c r="B177" t="s">
        <v>512</v>
      </c>
      <c r="C177" s="1">
        <v>36378</v>
      </c>
      <c r="D177" s="8">
        <v>199</v>
      </c>
    </row>
    <row r="178" spans="1:4" x14ac:dyDescent="0.3">
      <c r="A178" t="s">
        <v>146</v>
      </c>
      <c r="B178" t="s">
        <v>512</v>
      </c>
      <c r="C178" s="1">
        <v>35653</v>
      </c>
      <c r="D178" s="8">
        <v>185</v>
      </c>
    </row>
    <row r="179" spans="1:4" x14ac:dyDescent="0.3">
      <c r="A179" t="s">
        <v>179</v>
      </c>
      <c r="B179" t="s">
        <v>512</v>
      </c>
      <c r="C179" s="1">
        <v>36798</v>
      </c>
      <c r="D179" s="8">
        <v>211</v>
      </c>
    </row>
    <row r="180" spans="1:4" x14ac:dyDescent="0.3">
      <c r="A180" t="s">
        <v>70</v>
      </c>
      <c r="B180" s="3" t="s">
        <v>588</v>
      </c>
      <c r="C180" s="1">
        <v>38645</v>
      </c>
      <c r="D180" s="8">
        <v>197</v>
      </c>
    </row>
    <row r="181" spans="1:4" x14ac:dyDescent="0.3">
      <c r="A181" t="s">
        <v>175</v>
      </c>
      <c r="B181" t="s">
        <v>589</v>
      </c>
      <c r="C181" s="1">
        <v>37868</v>
      </c>
      <c r="D181" s="8">
        <v>201</v>
      </c>
    </row>
    <row r="182" spans="1:4" x14ac:dyDescent="0.3">
      <c r="A182" t="s">
        <v>239</v>
      </c>
      <c r="B182" t="s">
        <v>590</v>
      </c>
      <c r="C182" s="1">
        <v>37629</v>
      </c>
      <c r="D182" s="8">
        <v>203</v>
      </c>
    </row>
    <row r="183" spans="1:4" x14ac:dyDescent="0.3">
      <c r="A183" t="s">
        <v>143</v>
      </c>
      <c r="B183" t="s">
        <v>591</v>
      </c>
      <c r="C183" s="1">
        <v>37929</v>
      </c>
      <c r="D183" s="8">
        <v>212</v>
      </c>
    </row>
    <row r="184" spans="1:4" x14ac:dyDescent="0.3">
      <c r="A184" t="s">
        <v>172</v>
      </c>
      <c r="B184" t="s">
        <v>592</v>
      </c>
      <c r="C184" s="1">
        <v>37400</v>
      </c>
      <c r="D184" s="8">
        <v>192</v>
      </c>
    </row>
    <row r="185" spans="1:4" x14ac:dyDescent="0.3">
      <c r="A185" t="s">
        <v>182</v>
      </c>
      <c r="B185" t="s">
        <v>593</v>
      </c>
      <c r="C185" s="1">
        <v>36430</v>
      </c>
      <c r="D185" s="8">
        <v>190</v>
      </c>
    </row>
    <row r="186" spans="1:4" x14ac:dyDescent="0.3">
      <c r="A186" t="s">
        <v>212</v>
      </c>
      <c r="B186" t="s">
        <v>594</v>
      </c>
      <c r="C186" s="1">
        <v>37198</v>
      </c>
      <c r="D186" s="8">
        <v>201</v>
      </c>
    </row>
    <row r="187" spans="1:4" x14ac:dyDescent="0.3">
      <c r="A187" t="s">
        <v>85</v>
      </c>
      <c r="B187" t="s">
        <v>568</v>
      </c>
      <c r="C187" s="1">
        <v>36369</v>
      </c>
      <c r="D187" s="8">
        <v>196</v>
      </c>
    </row>
    <row r="188" spans="1:4" x14ac:dyDescent="0.3">
      <c r="A188" t="s">
        <v>107</v>
      </c>
      <c r="B188" t="s">
        <v>571</v>
      </c>
      <c r="C188" s="1">
        <v>35980</v>
      </c>
      <c r="D188" s="8">
        <v>182</v>
      </c>
    </row>
    <row r="189" spans="1:4" x14ac:dyDescent="0.3">
      <c r="A189" t="s">
        <v>164</v>
      </c>
      <c r="B189" s="7" t="s">
        <v>570</v>
      </c>
      <c r="C189" s="1">
        <v>35468</v>
      </c>
      <c r="D189" s="8">
        <v>202</v>
      </c>
    </row>
    <row r="190" spans="1:4" x14ac:dyDescent="0.3">
      <c r="A190" t="s">
        <v>177</v>
      </c>
      <c r="B190" t="s">
        <v>569</v>
      </c>
      <c r="C190" s="1">
        <v>36085</v>
      </c>
      <c r="D190" s="8">
        <v>205</v>
      </c>
    </row>
    <row r="191" spans="1:4" x14ac:dyDescent="0.3">
      <c r="A191" t="s">
        <v>207</v>
      </c>
      <c r="B191" t="s">
        <v>572</v>
      </c>
      <c r="C191" s="1">
        <v>37166</v>
      </c>
      <c r="D191" s="8">
        <v>188</v>
      </c>
    </row>
    <row r="192" spans="1:4" x14ac:dyDescent="0.3">
      <c r="A192" t="s">
        <v>216</v>
      </c>
      <c r="B192" t="s">
        <v>573</v>
      </c>
      <c r="C192" s="1">
        <v>34758</v>
      </c>
      <c r="D192" s="8">
        <v>201</v>
      </c>
    </row>
    <row r="193" spans="1:4" x14ac:dyDescent="0.3">
      <c r="A193" t="s">
        <v>218</v>
      </c>
      <c r="B193" t="s">
        <v>574</v>
      </c>
      <c r="C193" s="1">
        <v>36647</v>
      </c>
      <c r="D193" s="8">
        <v>216</v>
      </c>
    </row>
    <row r="194" spans="1:4" x14ac:dyDescent="0.3">
      <c r="A194" t="s">
        <v>224</v>
      </c>
      <c r="B194" t="s">
        <v>575</v>
      </c>
      <c r="C194" s="1">
        <v>35396</v>
      </c>
      <c r="D194" s="8">
        <v>198</v>
      </c>
    </row>
    <row r="195" spans="1:4" x14ac:dyDescent="0.3">
      <c r="A195" t="s">
        <v>236</v>
      </c>
      <c r="B195" t="s">
        <v>576</v>
      </c>
      <c r="C195" s="1">
        <v>36166</v>
      </c>
      <c r="D195" s="8">
        <v>201</v>
      </c>
    </row>
    <row r="196" spans="1:4" x14ac:dyDescent="0.3">
      <c r="A196" t="s">
        <v>266</v>
      </c>
      <c r="B196" t="s">
        <v>577</v>
      </c>
      <c r="C196" s="1">
        <v>35927</v>
      </c>
      <c r="D196" s="8">
        <v>215</v>
      </c>
    </row>
    <row r="197" spans="1:4" x14ac:dyDescent="0.3">
      <c r="A197" t="s">
        <v>64</v>
      </c>
      <c r="B197" t="s">
        <v>578</v>
      </c>
      <c r="C197" s="1">
        <v>35718</v>
      </c>
      <c r="D197" s="8">
        <v>175</v>
      </c>
    </row>
    <row r="198" spans="1:4" x14ac:dyDescent="0.3">
      <c r="A198" t="s">
        <v>67</v>
      </c>
      <c r="B198" t="s">
        <v>579</v>
      </c>
      <c r="C198" s="1">
        <v>35951</v>
      </c>
      <c r="D198" s="8">
        <v>194</v>
      </c>
    </row>
    <row r="199" spans="1:4" x14ac:dyDescent="0.3">
      <c r="A199" t="s">
        <v>73</v>
      </c>
      <c r="B199" t="s">
        <v>580</v>
      </c>
      <c r="C199" s="1">
        <v>35285</v>
      </c>
      <c r="D199" s="8">
        <v>206</v>
      </c>
    </row>
    <row r="200" spans="1:4" x14ac:dyDescent="0.3">
      <c r="A200" t="s">
        <v>106</v>
      </c>
      <c r="B200" t="s">
        <v>581</v>
      </c>
      <c r="C200" s="1">
        <v>35715</v>
      </c>
      <c r="D200" s="8">
        <v>185</v>
      </c>
    </row>
    <row r="201" spans="1:4" x14ac:dyDescent="0.3">
      <c r="A201" t="s">
        <v>117</v>
      </c>
      <c r="B201" t="s">
        <v>582</v>
      </c>
      <c r="C201" s="1">
        <v>35628</v>
      </c>
      <c r="D201" s="8">
        <v>206</v>
      </c>
    </row>
    <row r="202" spans="1:4" x14ac:dyDescent="0.3">
      <c r="A202" t="s">
        <v>121</v>
      </c>
      <c r="B202" t="s">
        <v>583</v>
      </c>
      <c r="C202" s="1">
        <v>36872</v>
      </c>
      <c r="D202" s="8">
        <v>188</v>
      </c>
    </row>
    <row r="203" spans="1:4" x14ac:dyDescent="0.3">
      <c r="A203" t="s">
        <v>142</v>
      </c>
      <c r="B203" t="s">
        <v>584</v>
      </c>
      <c r="C203" s="1">
        <v>36114</v>
      </c>
      <c r="D203" s="8">
        <v>210</v>
      </c>
    </row>
    <row r="204" spans="1:4" x14ac:dyDescent="0.3">
      <c r="A204" t="s">
        <v>162</v>
      </c>
      <c r="B204" t="s">
        <v>585</v>
      </c>
      <c r="C204" s="1">
        <v>36168</v>
      </c>
      <c r="D204" s="8">
        <v>201</v>
      </c>
    </row>
    <row r="205" spans="1:4" x14ac:dyDescent="0.3">
      <c r="A205" t="s">
        <v>228</v>
      </c>
      <c r="B205" t="s">
        <v>586</v>
      </c>
      <c r="C205" s="1">
        <v>35669</v>
      </c>
      <c r="D205" s="8">
        <v>213</v>
      </c>
    </row>
    <row r="206" spans="1:4" x14ac:dyDescent="0.3">
      <c r="A206" t="s">
        <v>241</v>
      </c>
      <c r="B206" t="s">
        <v>587</v>
      </c>
      <c r="C206" s="1">
        <v>32930</v>
      </c>
      <c r="D206" s="8">
        <v>208</v>
      </c>
    </row>
  </sheetData>
  <hyperlinks>
    <hyperlink ref="B189" r:id="rId1" xr:uid="{E043272E-CD0E-4E63-A4CA-14B179F77AE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388C0-410F-4375-8F9A-2ED43E398684}">
  <dimension ref="A1:B68"/>
  <sheetViews>
    <sheetView topLeftCell="A28" zoomScaleNormal="100" workbookViewId="0">
      <selection activeCell="A69" sqref="A69"/>
    </sheetView>
  </sheetViews>
  <sheetFormatPr baseColWidth="10" defaultRowHeight="14.4" x14ac:dyDescent="0.3"/>
  <cols>
    <col min="1" max="1" width="25.21875" bestFit="1" customWidth="1"/>
  </cols>
  <sheetData>
    <row r="1" spans="1:2" x14ac:dyDescent="0.3">
      <c r="A1" t="s">
        <v>310</v>
      </c>
      <c r="B1" t="s">
        <v>363</v>
      </c>
    </row>
    <row r="2" spans="1:2" x14ac:dyDescent="0.3">
      <c r="A2" t="s">
        <v>139</v>
      </c>
      <c r="B2" t="s">
        <v>364</v>
      </c>
    </row>
    <row r="3" spans="1:2" x14ac:dyDescent="0.3">
      <c r="A3" t="s">
        <v>140</v>
      </c>
      <c r="B3" t="s">
        <v>365</v>
      </c>
    </row>
    <row r="4" spans="1:2" x14ac:dyDescent="0.3">
      <c r="A4" t="s">
        <v>141</v>
      </c>
      <c r="B4" t="s">
        <v>366</v>
      </c>
    </row>
    <row r="5" spans="1:2" x14ac:dyDescent="0.3">
      <c r="A5" t="s">
        <v>144</v>
      </c>
      <c r="B5" s="7" t="s">
        <v>367</v>
      </c>
    </row>
    <row r="6" spans="1:2" x14ac:dyDescent="0.3">
      <c r="A6" t="s">
        <v>145</v>
      </c>
      <c r="B6" t="s">
        <v>368</v>
      </c>
    </row>
    <row r="7" spans="1:2" x14ac:dyDescent="0.3">
      <c r="A7" t="s">
        <v>147</v>
      </c>
      <c r="B7" t="s">
        <v>369</v>
      </c>
    </row>
    <row r="8" spans="1:2" x14ac:dyDescent="0.3">
      <c r="A8" t="s">
        <v>370</v>
      </c>
      <c r="B8" t="s">
        <v>371</v>
      </c>
    </row>
    <row r="9" spans="1:2" x14ac:dyDescent="0.3">
      <c r="A9" t="s">
        <v>148</v>
      </c>
      <c r="B9" t="s">
        <v>372</v>
      </c>
    </row>
    <row r="10" spans="1:2" x14ac:dyDescent="0.3">
      <c r="A10" t="s">
        <v>149</v>
      </c>
      <c r="B10" t="s">
        <v>373</v>
      </c>
    </row>
    <row r="11" spans="1:2" x14ac:dyDescent="0.3">
      <c r="A11" t="s">
        <v>150</v>
      </c>
      <c r="B11" t="s">
        <v>374</v>
      </c>
    </row>
    <row r="12" spans="1:2" x14ac:dyDescent="0.3">
      <c r="A12" t="s">
        <v>151</v>
      </c>
      <c r="B12" t="s">
        <v>375</v>
      </c>
    </row>
    <row r="13" spans="1:2" x14ac:dyDescent="0.3">
      <c r="A13" t="s">
        <v>152</v>
      </c>
      <c r="B13" t="s">
        <v>376</v>
      </c>
    </row>
    <row r="14" spans="1:2" x14ac:dyDescent="0.3">
      <c r="A14" t="s">
        <v>153</v>
      </c>
      <c r="B14" t="s">
        <v>377</v>
      </c>
    </row>
    <row r="15" spans="1:2" x14ac:dyDescent="0.3">
      <c r="A15" t="s">
        <v>154</v>
      </c>
      <c r="B15" t="s">
        <v>378</v>
      </c>
    </row>
    <row r="16" spans="1:2" x14ac:dyDescent="0.3">
      <c r="A16" t="s">
        <v>155</v>
      </c>
      <c r="B16" t="s">
        <v>379</v>
      </c>
    </row>
    <row r="17" spans="1:2" x14ac:dyDescent="0.3">
      <c r="A17" t="s">
        <v>156</v>
      </c>
      <c r="B17" t="s">
        <v>380</v>
      </c>
    </row>
    <row r="18" spans="1:2" x14ac:dyDescent="0.3">
      <c r="A18" t="s">
        <v>157</v>
      </c>
      <c r="B18" t="s">
        <v>381</v>
      </c>
    </row>
    <row r="19" spans="1:2" x14ac:dyDescent="0.3">
      <c r="A19" t="s">
        <v>158</v>
      </c>
      <c r="B19" t="s">
        <v>382</v>
      </c>
    </row>
    <row r="20" spans="1:2" x14ac:dyDescent="0.3">
      <c r="A20" t="s">
        <v>159</v>
      </c>
      <c r="B20" t="s">
        <v>383</v>
      </c>
    </row>
    <row r="21" spans="1:2" x14ac:dyDescent="0.3">
      <c r="A21" t="s">
        <v>160</v>
      </c>
      <c r="B21" t="s">
        <v>384</v>
      </c>
    </row>
    <row r="22" spans="1:2" x14ac:dyDescent="0.3">
      <c r="A22" t="s">
        <v>163</v>
      </c>
      <c r="B22" t="s">
        <v>385</v>
      </c>
    </row>
    <row r="23" spans="1:2" x14ac:dyDescent="0.3">
      <c r="A23" t="s">
        <v>165</v>
      </c>
      <c r="B23" t="s">
        <v>386</v>
      </c>
    </row>
    <row r="24" spans="1:2" x14ac:dyDescent="0.3">
      <c r="A24" t="s">
        <v>166</v>
      </c>
      <c r="B24" t="s">
        <v>387</v>
      </c>
    </row>
    <row r="25" spans="1:2" x14ac:dyDescent="0.3">
      <c r="A25" t="s">
        <v>167</v>
      </c>
      <c r="B25" t="s">
        <v>388</v>
      </c>
    </row>
    <row r="26" spans="1:2" x14ac:dyDescent="0.3">
      <c r="A26" t="s">
        <v>168</v>
      </c>
      <c r="B26" t="s">
        <v>389</v>
      </c>
    </row>
    <row r="27" spans="1:2" x14ac:dyDescent="0.3">
      <c r="A27" t="s">
        <v>169</v>
      </c>
      <c r="B27" t="s">
        <v>390</v>
      </c>
    </row>
    <row r="28" spans="1:2" x14ac:dyDescent="0.3">
      <c r="A28" t="s">
        <v>170</v>
      </c>
      <c r="B28" t="s">
        <v>391</v>
      </c>
    </row>
    <row r="29" spans="1:2" x14ac:dyDescent="0.3">
      <c r="A29" t="s">
        <v>171</v>
      </c>
      <c r="B29" t="s">
        <v>392</v>
      </c>
    </row>
    <row r="30" spans="1:2" x14ac:dyDescent="0.3">
      <c r="A30" t="s">
        <v>178</v>
      </c>
      <c r="B30" t="s">
        <v>393</v>
      </c>
    </row>
    <row r="31" spans="1:2" x14ac:dyDescent="0.3">
      <c r="A31" t="s">
        <v>180</v>
      </c>
      <c r="B31" t="s">
        <v>394</v>
      </c>
    </row>
    <row r="32" spans="1:2" x14ac:dyDescent="0.3">
      <c r="A32" t="s">
        <v>181</v>
      </c>
      <c r="B32" t="s">
        <v>395</v>
      </c>
    </row>
    <row r="33" spans="1:2" x14ac:dyDescent="0.3">
      <c r="A33" t="s">
        <v>183</v>
      </c>
      <c r="B33" t="s">
        <v>396</v>
      </c>
    </row>
    <row r="34" spans="1:2" x14ac:dyDescent="0.3">
      <c r="A34" t="s">
        <v>184</v>
      </c>
      <c r="B34" t="s">
        <v>397</v>
      </c>
    </row>
    <row r="35" spans="1:2" x14ac:dyDescent="0.3">
      <c r="A35" t="s">
        <v>187</v>
      </c>
      <c r="B35" t="s">
        <v>398</v>
      </c>
    </row>
    <row r="36" spans="1:2" x14ac:dyDescent="0.3">
      <c r="A36" t="s">
        <v>190</v>
      </c>
      <c r="B36" t="s">
        <v>399</v>
      </c>
    </row>
    <row r="37" spans="1:2" x14ac:dyDescent="0.3">
      <c r="A37" t="s">
        <v>192</v>
      </c>
      <c r="B37" t="s">
        <v>400</v>
      </c>
    </row>
    <row r="38" spans="1:2" x14ac:dyDescent="0.3">
      <c r="A38" t="s">
        <v>193</v>
      </c>
      <c r="B38" t="s">
        <v>401</v>
      </c>
    </row>
    <row r="39" spans="1:2" x14ac:dyDescent="0.3">
      <c r="A39" t="s">
        <v>199</v>
      </c>
      <c r="B39" t="s">
        <v>402</v>
      </c>
    </row>
    <row r="40" spans="1:2" x14ac:dyDescent="0.3">
      <c r="A40" t="s">
        <v>200</v>
      </c>
      <c r="B40" t="s">
        <v>403</v>
      </c>
    </row>
    <row r="41" spans="1:2" x14ac:dyDescent="0.3">
      <c r="A41" t="s">
        <v>201</v>
      </c>
      <c r="B41" t="s">
        <v>404</v>
      </c>
    </row>
    <row r="42" spans="1:2" x14ac:dyDescent="0.3">
      <c r="A42" t="s">
        <v>202</v>
      </c>
      <c r="B42" t="s">
        <v>405</v>
      </c>
    </row>
    <row r="43" spans="1:2" x14ac:dyDescent="0.3">
      <c r="A43" t="s">
        <v>205</v>
      </c>
      <c r="B43" t="s">
        <v>406</v>
      </c>
    </row>
    <row r="44" spans="1:2" x14ac:dyDescent="0.3">
      <c r="A44" t="s">
        <v>206</v>
      </c>
      <c r="B44" t="s">
        <v>407</v>
      </c>
    </row>
    <row r="45" spans="1:2" x14ac:dyDescent="0.3">
      <c r="A45" t="s">
        <v>208</v>
      </c>
      <c r="B45" t="s">
        <v>408</v>
      </c>
    </row>
    <row r="46" spans="1:2" x14ac:dyDescent="0.3">
      <c r="A46" t="s">
        <v>209</v>
      </c>
      <c r="B46" t="s">
        <v>409</v>
      </c>
    </row>
    <row r="47" spans="1:2" x14ac:dyDescent="0.3">
      <c r="A47" t="s">
        <v>210</v>
      </c>
      <c r="B47" t="s">
        <v>410</v>
      </c>
    </row>
    <row r="48" spans="1:2" x14ac:dyDescent="0.3">
      <c r="A48" t="s">
        <v>213</v>
      </c>
      <c r="B48" t="s">
        <v>411</v>
      </c>
    </row>
    <row r="49" spans="1:2" x14ac:dyDescent="0.3">
      <c r="A49" t="s">
        <v>214</v>
      </c>
      <c r="B49" t="s">
        <v>412</v>
      </c>
    </row>
    <row r="50" spans="1:2" x14ac:dyDescent="0.3">
      <c r="A50" t="s">
        <v>217</v>
      </c>
      <c r="B50" t="s">
        <v>413</v>
      </c>
    </row>
    <row r="51" spans="1:2" x14ac:dyDescent="0.3">
      <c r="A51" t="s">
        <v>219</v>
      </c>
      <c r="B51" t="s">
        <v>414</v>
      </c>
    </row>
    <row r="52" spans="1:2" x14ac:dyDescent="0.3">
      <c r="A52" t="s">
        <v>220</v>
      </c>
      <c r="B52" t="s">
        <v>415</v>
      </c>
    </row>
    <row r="53" spans="1:2" x14ac:dyDescent="0.3">
      <c r="A53" t="s">
        <v>221</v>
      </c>
      <c r="B53" t="s">
        <v>416</v>
      </c>
    </row>
    <row r="54" spans="1:2" x14ac:dyDescent="0.3">
      <c r="A54" t="s">
        <v>222</v>
      </c>
      <c r="B54" t="s">
        <v>417</v>
      </c>
    </row>
    <row r="55" spans="1:2" x14ac:dyDescent="0.3">
      <c r="A55" t="s">
        <v>223</v>
      </c>
      <c r="B55" t="s">
        <v>418</v>
      </c>
    </row>
    <row r="56" spans="1:2" x14ac:dyDescent="0.3">
      <c r="A56" t="s">
        <v>225</v>
      </c>
      <c r="B56" t="s">
        <v>419</v>
      </c>
    </row>
    <row r="57" spans="1:2" x14ac:dyDescent="0.3">
      <c r="A57" t="s">
        <v>226</v>
      </c>
      <c r="B57" t="s">
        <v>420</v>
      </c>
    </row>
    <row r="58" spans="1:2" x14ac:dyDescent="0.3">
      <c r="A58" t="s">
        <v>421</v>
      </c>
      <c r="B58" t="s">
        <v>422</v>
      </c>
    </row>
    <row r="59" spans="1:2" x14ac:dyDescent="0.3">
      <c r="A59" t="s">
        <v>229</v>
      </c>
      <c r="B59" t="s">
        <v>423</v>
      </c>
    </row>
    <row r="60" spans="1:2" x14ac:dyDescent="0.3">
      <c r="A60" t="s">
        <v>231</v>
      </c>
      <c r="B60" t="s">
        <v>424</v>
      </c>
    </row>
    <row r="61" spans="1:2" x14ac:dyDescent="0.3">
      <c r="A61" t="s">
        <v>232</v>
      </c>
      <c r="B61" t="s">
        <v>425</v>
      </c>
    </row>
    <row r="62" spans="1:2" x14ac:dyDescent="0.3">
      <c r="A62" t="s">
        <v>233</v>
      </c>
      <c r="B62" t="s">
        <v>426</v>
      </c>
    </row>
    <row r="63" spans="1:2" x14ac:dyDescent="0.3">
      <c r="A63" t="s">
        <v>235</v>
      </c>
      <c r="B63" t="s">
        <v>427</v>
      </c>
    </row>
    <row r="64" spans="1:2" x14ac:dyDescent="0.3">
      <c r="A64" t="s">
        <v>238</v>
      </c>
      <c r="B64" t="s">
        <v>428</v>
      </c>
    </row>
    <row r="65" spans="1:2" x14ac:dyDescent="0.3">
      <c r="A65" t="s">
        <v>240</v>
      </c>
      <c r="B65" t="s">
        <v>429</v>
      </c>
    </row>
    <row r="66" spans="1:2" x14ac:dyDescent="0.3">
      <c r="A66" t="s">
        <v>245</v>
      </c>
      <c r="B66" t="s">
        <v>430</v>
      </c>
    </row>
    <row r="67" spans="1:2" x14ac:dyDescent="0.3">
      <c r="A67" t="s">
        <v>247</v>
      </c>
      <c r="B67" t="s">
        <v>431</v>
      </c>
    </row>
    <row r="68" spans="1:2" x14ac:dyDescent="0.3">
      <c r="A68" t="s">
        <v>252</v>
      </c>
      <c r="B68" t="s">
        <v>432</v>
      </c>
    </row>
  </sheetData>
  <hyperlinks>
    <hyperlink ref="B5" r:id="rId1" xr:uid="{3404FDA7-689F-4311-9F93-1E53488747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Final</vt:lpstr>
      <vt:lpstr>otros</vt:lpstr>
      <vt:lpstr>prova</vt:lpstr>
      <vt:lpstr>acbs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 Barios Bergua</cp:lastModifiedBy>
  <dcterms:created xsi:type="dcterms:W3CDTF">2026-08-07T20:06:12Z</dcterms:created>
  <dcterms:modified xsi:type="dcterms:W3CDTF">2026-08-09T20:50:47Z</dcterms:modified>
</cp:coreProperties>
</file>